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  <sheet state="visible" name="DB" sheetId="2" r:id="rId5"/>
    <sheet state="visible" name="概要" sheetId="3" r:id="rId6"/>
    <sheet state="visible" name="API" sheetId="4" r:id="rId7"/>
    <sheet state="visible" name="書籍検索画面" sheetId="5" r:id="rId8"/>
    <sheet state="visible" name="書籍登録画面" sheetId="6" r:id="rId9"/>
    <sheet state="visible" name="IF仕様書" sheetId="7" r:id="rId10"/>
    <sheet state="visible" name="シーケンス" sheetId="8" r:id="rId11"/>
    <sheet state="visible" name="テーブル定義書" sheetId="9" r:id="rId12"/>
  </sheets>
  <definedNames>
    <definedName hidden="1" localSheetId="0" name="Z_E277EE63_C059_4E72_843F_A9F33BA61843_.wvu.FilterData">WBS!$A$4:$CA$8</definedName>
  </definedNames>
  <calcPr/>
  <customWorkbookViews>
    <customWorkbookView activeSheetId="0" maximized="1" tabRatio="600" windowHeight="0" windowWidth="0" guid="{E277EE63-C059-4E72-843F-A9F33BA61843}" name="佐々木確認用"/>
  </customWorkbookViews>
</workbook>
</file>

<file path=xl/sharedStrings.xml><?xml version="1.0" encoding="utf-8"?>
<sst xmlns="http://schemas.openxmlformats.org/spreadsheetml/2006/main" count="209" uniqueCount="148">
  <si>
    <t>No.</t>
  </si>
  <si>
    <t>チーム</t>
  </si>
  <si>
    <t>内容</t>
  </si>
  <si>
    <t>開始予定</t>
  </si>
  <si>
    <t>終了予定</t>
  </si>
  <si>
    <t>担当者</t>
  </si>
  <si>
    <t>ステータス</t>
  </si>
  <si>
    <t>APIチーム</t>
  </si>
  <si>
    <t>未</t>
  </si>
  <si>
    <t>IF仕様書作成</t>
  </si>
  <si>
    <t>舟山(東京)</t>
  </si>
  <si>
    <t>森(東京)</t>
  </si>
  <si>
    <t>環境構築</t>
  </si>
  <si>
    <t>書籍検索画面チーム</t>
  </si>
  <si>
    <t>シーケンス図作成</t>
  </si>
  <si>
    <t>木田(名古屋)</t>
  </si>
  <si>
    <t>榊原(名古屋)</t>
  </si>
  <si>
    <t>書籍登録画面チーム</t>
  </si>
  <si>
    <t>テーブル定義書作成</t>
  </si>
  <si>
    <t>丸林(大阪)</t>
  </si>
  <si>
    <t>青柳(大阪)</t>
  </si>
  <si>
    <t>DDL発行(DB構築)してpush</t>
  </si>
  <si>
    <t>表示開始日</t>
  </si>
  <si>
    <t>吉崎(PM)</t>
  </si>
  <si>
    <t>作業中</t>
  </si>
  <si>
    <t>増村(PM)</t>
  </si>
  <si>
    <t>レビュー</t>
  </si>
  <si>
    <t>大阪</t>
  </si>
  <si>
    <t>レビュー修正</t>
  </si>
  <si>
    <t>名古屋</t>
  </si>
  <si>
    <t>修正後チェック</t>
  </si>
  <si>
    <t>東京</t>
  </si>
  <si>
    <t>完了</t>
  </si>
  <si>
    <t>書籍検索</t>
  </si>
  <si>
    <t>参考になるかも？</t>
  </si>
  <si>
    <t>開発言語</t>
  </si>
  <si>
    <t>Java</t>
  </si>
  <si>
    <t>API系</t>
  </si>
  <si>
    <t>フレームワーク</t>
  </si>
  <si>
    <t>Spring(Boot)</t>
  </si>
  <si>
    <t>https://iteng-pom.com/archives/613</t>
  </si>
  <si>
    <t>DB</t>
  </si>
  <si>
    <t>MySQL</t>
  </si>
  <si>
    <t>http://sparkling-software.club/pekublog/?p=989</t>
  </si>
  <si>
    <t>https://qiita.com/ukiuni@github/items/a516439b30c340703292</t>
  </si>
  <si>
    <t>git</t>
  </si>
  <si>
    <t>https://github.com/acro-yoshizaki/acrovision-book-library.git</t>
  </si>
  <si>
    <t>https://qiita.com/L_A_P_119611/items/e44367ab6336f2fd09ea</t>
  </si>
  <si>
    <t>user名</t>
  </si>
  <si>
    <t>acro-名字</t>
  </si>
  <si>
    <t>https://codezine.jp/static/ad/index.html?ref=https%3A%2F%2Fcodezine.jp%2Farticle%2Fdetail%2F11546</t>
  </si>
  <si>
    <t>https://www.opentone.co.jp/news/release/article04/article0401.html</t>
  </si>
  <si>
    <t>現場・面談が優先でOKです！</t>
  </si>
  <si>
    <t>https://kageura.hatenadiary.jp/entry/2019/01/22/Java_%E3%82%AF%E3%83%A9%E3%82%A4%E3%83%B3%E3%83%88%E9%96%8B%E7%99%BA%E3%81%AB%E3%81%8A%E3%81%91%E3%82%8B_Web_API_%E3%81%AE%E5%AE%9F%E8%A3%85%E3%82%A2%E3%83%97%E3%83%AD%E3%83%BC%E3%83%81%EF%BC%9A_5</t>
  </si>
  <si>
    <t>画面のデザインは分かれば良いのでディテールはあまりこだわらなくても◯</t>
  </si>
  <si>
    <t>どちらかというと裏の処理を頑張って欲しいです。</t>
  </si>
  <si>
    <t>https://dicre.com/program/java/javadb.php</t>
  </si>
  <si>
    <t>https://qiita.com/tiagoyamashita/items/3b7dec9405030281b07a</t>
  </si>
  <si>
    <t>スケジュール</t>
  </si>
  <si>
    <t>工数</t>
  </si>
  <si>
    <t>バッファ</t>
  </si>
  <si>
    <t>計</t>
  </si>
  <si>
    <t>https://www.aiosl-tec.co.jp/java/377/</t>
  </si>
  <si>
    <t>仕様書作成</t>
  </si>
  <si>
    <t>テーブル定義書</t>
  </si>
  <si>
    <t>シーケンス図</t>
  </si>
  <si>
    <t>Spring+MySql</t>
  </si>
  <si>
    <t>IF仕様書</t>
  </si>
  <si>
    <t>https://syslog.life/2020/08/13/spring-boot-mysql-jdbc-%E6%8E%A5%E7%B6%9A-%E8%A8%AD%E5%AE%9A/</t>
  </si>
  <si>
    <t>実装(単体テスト含)</t>
  </si>
  <si>
    <t>API</t>
  </si>
  <si>
    <t>https://qiita.com/shoko93/items/99d95c292a78f3a77597</t>
  </si>
  <si>
    <t>書籍検索画面</t>
  </si>
  <si>
    <t>書籍登録画面</t>
  </si>
  <si>
    <t>画面系</t>
  </si>
  <si>
    <t>テスト仕様書作成</t>
  </si>
  <si>
    <t>https://syslog.life/2019/09/04/spring-boot-hello-world-%E8%A1%A8%E7%A4%BA-%E7%94%BB%E9%9D%A2%E9%81%B7%E7%A7%BB-%E5%AE%9F%E8%A3%85/</t>
  </si>
  <si>
    <t>(結合テストっぽいやつ)</t>
  </si>
  <si>
    <t>https://teratail.com/questions/111052</t>
  </si>
  <si>
    <t>https://qiita.com/yagi_eng/items/75935518851f67ca501e</t>
  </si>
  <si>
    <t>テスト実施</t>
  </si>
  <si>
    <t>https://penguinlabo.hatenablog.com/entry/springboot/web/3_implementsview</t>
  </si>
  <si>
    <t>人数(6)</t>
  </si>
  <si>
    <t>ゴール</t>
  </si>
  <si>
    <t>ResterなどのAPIツールで本の持ち主の情報を取得できること</t>
  </si>
  <si>
    <t>API最低一個作成</t>
  </si>
  <si>
    <t>POSTで社員番号をBodyに入れ、
レスポンスでその人が持っている本の情報一覧が取得できること</t>
  </si>
  <si>
    <t>エラー制御ができること</t>
  </si>
  <si>
    <t>取得した情報が画面に反映されること(優先度低)</t>
  </si>
  <si>
    <t>できるなら、書籍検索APIも作成</t>
  </si>
  <si>
    <t>DBからSELECTした情報を画面に表示できること</t>
  </si>
  <si>
    <t>画面遷移ができる(登録画面へ遷移、検索画面へ戻る)</t>
  </si>
  <si>
    <t>バリデーションチェックができる</t>
  </si>
  <si>
    <t>DB操作ができる</t>
  </si>
  <si>
    <t>インターフェース仕様書の作成</t>
  </si>
  <si>
    <t>https://qiita.com/sunstripe2011/items/9230396febfab2eae2c2</t>
  </si>
  <si>
    <t>https://transcosmos-ecx.jp/blog/55</t>
  </si>
  <si>
    <t>https://ad-sho-loko.hatenablog.com/entry/2018/11/23/145033</t>
  </si>
  <si>
    <t>https://qiita.com/uenosy/items/ba9dbc70781bddc4a491</t>
  </si>
  <si>
    <t>必要情報</t>
  </si>
  <si>
    <t>URL</t>
  </si>
  <si>
    <t>メソッド(今回はPOST)</t>
  </si>
  <si>
    <t>POSTデータ（JSON形式）社員番号を必須とする</t>
  </si>
  <si>
    <t>返却データ（JSON形式）ヒット数・本の情報が入ったリストを返却</t>
  </si>
  <si>
    <t>処理結果ステータス(200,400系,500系)</t>
  </si>
  <si>
    <t>JSONの例</t>
  </si>
  <si>
    <t>その他調べて、必要そうだった情報は仕様書に記載する。</t>
  </si>
  <si>
    <t>シーケンス図の作成</t>
  </si>
  <si>
    <t>https://cacoo.com/ja/blog/what-is-sequence-diagram/</t>
  </si>
  <si>
    <t>https://www.itsenka.com/contents/development/uml/sequence.html</t>
  </si>
  <si>
    <t>https://medium-company.com/%E3%82%B7%E3%83%BC%E3%82%B1%E3%83%B3%E3%82%B9%E5%9B%B3/</t>
  </si>
  <si>
    <t>テーブル情報</t>
  </si>
  <si>
    <t>https://a5m2.mmatsubara.com/help/DBTree/tableDefine.html</t>
  </si>
  <si>
    <t>本のテーブル</t>
  </si>
  <si>
    <t>名前</t>
  </si>
  <si>
    <t>型</t>
  </si>
  <si>
    <t>PK</t>
  </si>
  <si>
    <t>説明・条件</t>
  </si>
  <si>
    <t>https://itconsultant-dictionary.com/table-definition-sample/</t>
  </si>
  <si>
    <t>レコード番号(連番)</t>
  </si>
  <si>
    <t>ID</t>
  </si>
  <si>
    <t>Int</t>
  </si>
  <si>
    <t>◯</t>
  </si>
  <si>
    <t>連番(auto increment)</t>
  </si>
  <si>
    <t>https://www.softel.co.jp/blogs/tech/archives/5061</t>
  </si>
  <si>
    <t>BOOK_NAME</t>
  </si>
  <si>
    <t>VARCHAR(255)</t>
  </si>
  <si>
    <t>本の名前</t>
  </si>
  <si>
    <t>JANコード</t>
  </si>
  <si>
    <t>JAN_CODE</t>
  </si>
  <si>
    <r>
      <rPr/>
      <t>本のバーコード(</t>
    </r>
    <r>
      <rPr>
        <color rgb="FF1155CC"/>
        <u/>
      </rPr>
      <t>https://isbn.jpo.or.jp/index.php/fix__about/fix__about_2/</t>
    </r>
    <r>
      <rPr/>
      <t>)
13桁</t>
    </r>
  </si>
  <si>
    <t>デリートフラグ</t>
  </si>
  <si>
    <t>DELETE_FLG</t>
  </si>
  <si>
    <t>char(1)</t>
  </si>
  <si>
    <t>詳細</t>
  </si>
  <si>
    <t>BOOK_DETAIL</t>
  </si>
  <si>
    <t>本の詳細</t>
  </si>
  <si>
    <t>持ち主(社員番号)</t>
  </si>
  <si>
    <t>EMPLOYEE_NUMBER</t>
  </si>
  <si>
    <t>本の持ち主</t>
  </si>
  <si>
    <t>持ち主(メールアドレス)</t>
  </si>
  <si>
    <t>EMPLOYEE_MAIL</t>
  </si>
  <si>
    <t>持ち主のメールアドレス</t>
  </si>
  <si>
    <t>レコード追加日時</t>
  </si>
  <si>
    <t>INSERT_DATE</t>
  </si>
  <si>
    <t>DATE</t>
  </si>
  <si>
    <t>アップデート日時</t>
  </si>
  <si>
    <t>UPDATE_DATE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</si>
</sst>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"/>
    <numFmt numFmtId="165" formatCode="m/d"/>
    <numFmt numFmtId="166" formatCode="m&quot;/&quot;d"/>
  </numFmts>
  <fonts count="14">
    <font>
      <sz val="10.0"/>
      <color rgb="FF000000"/>
      <name val="Arial"/>
    </font>
    <font>
      <b/>
      <color rgb="FFFFFFFF"/>
      <name val="Calibri"/>
    </font>
    <font>
      <b/>
      <sz val="9.0"/>
      <color rgb="FFFFFFFF"/>
      <name val="Calibri"/>
    </font>
    <font>
      <color theme="1"/>
      <name val="Calibri"/>
    </font>
    <font/>
    <font>
      <sz val="11.0"/>
      <color rgb="FF000000"/>
      <name val="Inconsolata"/>
    </font>
    <font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right style="thin">
        <color rgb="FF666666"/>
      </right>
      <top style="thin">
        <color rgb="FF666666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righ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4" xfId="0" applyAlignment="1" applyBorder="1" applyFont="1" applyNumberFormat="1">
      <alignment horizontal="left" shrinkToFit="0" vertical="center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shrinkToFit="0" wrapText="1"/>
    </xf>
    <xf borderId="6" fillId="0" fontId="3" numFmtId="164" xfId="0" applyAlignment="1" applyBorder="1" applyFont="1" applyNumberFormat="1">
      <alignment shrinkToFit="0" wrapText="1"/>
    </xf>
    <xf borderId="6" fillId="3" fontId="3" numFmtId="164" xfId="0" applyAlignment="1" applyBorder="1" applyFill="1" applyFont="1" applyNumberFormat="1">
      <alignment shrinkToFit="0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3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3" fontId="3" numFmtId="0" xfId="0" applyAlignment="1" applyBorder="1" applyFont="1">
      <alignment shrinkToFit="0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165" xfId="0" applyAlignment="1" applyBorder="1" applyFont="1" applyNumberFormat="1">
      <alignment shrinkToFit="0" vertical="center" wrapText="1"/>
    </xf>
    <xf borderId="0" fillId="4" fontId="5" numFmtId="0" xfId="0" applyAlignment="1" applyFill="1" applyFont="1">
      <alignment horizontal="left"/>
    </xf>
    <xf borderId="10" fillId="0" fontId="6" numFmtId="0" xfId="0" applyBorder="1" applyFont="1"/>
    <xf borderId="10" fillId="0" fontId="3" numFmtId="0" xfId="0" applyAlignment="1" applyBorder="1" applyFont="1">
      <alignment readingOrder="0" shrinkToFit="0" vertical="center" wrapText="1"/>
    </xf>
    <xf borderId="10" fillId="0" fontId="6" numFmtId="166" xfId="0" applyAlignment="1" applyBorder="1" applyFont="1" applyNumberFormat="1">
      <alignment horizontal="right" readingOrder="0" shrinkToFit="0" vertical="center" wrapText="1"/>
    </xf>
    <xf borderId="11" fillId="0" fontId="3" numFmtId="166" xfId="0" applyAlignment="1" applyBorder="1" applyFont="1" applyNumberFormat="1">
      <alignment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0" fillId="0" fontId="6" numFmtId="0" xfId="0" applyAlignment="1" applyBorder="1" applyFont="1">
      <alignment vertical="bottom"/>
    </xf>
    <xf borderId="6" fillId="0" fontId="3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0" fontId="3" numFmtId="166" xfId="0" applyAlignment="1" applyBorder="1" applyFont="1" applyNumberFormat="1">
      <alignment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0" xfId="0" applyFont="1"/>
    <xf borderId="0" fillId="0" fontId="1" numFmtId="0" xfId="0" applyAlignment="1" applyFont="1">
      <alignment horizontal="center" vertical="center"/>
    </xf>
    <xf borderId="12" fillId="2" fontId="1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0" fillId="0" fontId="3" numFmtId="165" xfId="0" applyAlignment="1" applyFont="1" applyNumberFormat="1">
      <alignment vertical="center"/>
    </xf>
    <xf borderId="12" fillId="0" fontId="3" numFmtId="165" xfId="0" applyAlignment="1" applyBorder="1" applyFont="1" applyNumberFormat="1">
      <alignment readingOrder="0"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readingOrder="0" vertical="center"/>
    </xf>
    <xf borderId="14" fillId="4" fontId="7" numFmtId="0" xfId="0" applyAlignment="1" applyBorder="1" applyFont="1">
      <alignment horizontal="left" vertical="center"/>
    </xf>
    <xf borderId="14" fillId="4" fontId="7" numFmtId="0" xfId="0" applyAlignment="1" applyBorder="1" applyFont="1">
      <alignment horizontal="left" readingOrder="0" vertical="center"/>
    </xf>
    <xf borderId="1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12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0" fontId="3" numFmtId="2" xfId="0" applyFont="1" applyNumberFormat="1"/>
    <xf borderId="12" fillId="0" fontId="3" numFmtId="0" xfId="0" applyBorder="1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990000"/>
          <bgColor rgb="FF9900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DBFFE2"/>
          <bgColor rgb="FFDBFFE2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AFAFA"/>
          <bgColor rgb="FFFAFAF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361950</xdr:colOff>
      <xdr:row>0</xdr:row>
      <xdr:rowOff>57150</xdr:rowOff>
    </xdr:from>
    <xdr:ext cx="3390900" cy="3362325"/>
    <xdr:sp>
      <xdr:nvSpPr>
        <xdr:cNvPr id="3" name="Shape 3"/>
        <xdr:cNvSpPr/>
      </xdr:nvSpPr>
      <xdr:spPr>
        <a:xfrm>
          <a:off x="1911000" y="1478025"/>
          <a:ext cx="2965800" cy="29397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457200</xdr:colOff>
      <xdr:row>0</xdr:row>
      <xdr:rowOff>171450</xdr:rowOff>
    </xdr:from>
    <xdr:ext cx="3476625" cy="3933825"/>
    <xdr:sp>
      <xdr:nvSpPr>
        <xdr:cNvPr id="4" name="Shape 4"/>
        <xdr:cNvSpPr/>
      </xdr:nvSpPr>
      <xdr:spPr>
        <a:xfrm>
          <a:off x="1180850" y="763950"/>
          <a:ext cx="3073800" cy="34812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Rester</a:t>
          </a:r>
          <a:r>
            <a:rPr lang="en-US" sz="1400"/>
            <a:t>などのAPIサービス</a:t>
          </a:r>
          <a:endParaRPr sz="1400"/>
        </a:p>
      </xdr:txBody>
    </xdr:sp>
    <xdr:clientData fLocksWithSheet="0"/>
  </xdr:oneCellAnchor>
  <xdr:oneCellAnchor>
    <xdr:from>
      <xdr:col>4</xdr:col>
      <xdr:colOff>76200</xdr:colOff>
      <xdr:row>18</xdr:row>
      <xdr:rowOff>38100</xdr:rowOff>
    </xdr:from>
    <xdr:ext cx="2457450" cy="638175"/>
    <xdr:sp>
      <xdr:nvSpPr>
        <xdr:cNvPr id="5" name="Shape 5"/>
        <xdr:cNvSpPr/>
      </xdr:nvSpPr>
      <xdr:spPr>
        <a:xfrm>
          <a:off x="1782025" y="909400"/>
          <a:ext cx="2404800" cy="853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0</xdr:row>
      <xdr:rowOff>57150</xdr:rowOff>
    </xdr:from>
    <xdr:ext cx="7419975" cy="4200525"/>
    <xdr:pic>
      <xdr:nvPicPr>
        <xdr:cNvPr id="0" name="image3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76200</xdr:rowOff>
    </xdr:from>
    <xdr:ext cx="7591425" cy="466725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2</xdr:row>
      <xdr:rowOff>66675</xdr:rowOff>
    </xdr:from>
    <xdr:ext cx="304800" cy="200025"/>
    <xdr:sp>
      <xdr:nvSpPr>
        <xdr:cNvPr id="6" name="Shape 6"/>
        <xdr:cNvSpPr/>
      </xdr:nvSpPr>
      <xdr:spPr>
        <a:xfrm>
          <a:off x="2506775" y="3021150"/>
          <a:ext cx="459000" cy="282900"/>
        </a:xfrm>
        <a:prstGeom prst="leftArrow">
          <a:avLst>
            <a:gd fmla="val 50000" name="adj1"/>
            <a:gd fmla="val 50000" name="adj2"/>
          </a:avLst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9525</xdr:colOff>
      <xdr:row>0</xdr:row>
      <xdr:rowOff>66675</xdr:rowOff>
    </xdr:from>
    <xdr:ext cx="6610350" cy="4029075"/>
    <xdr:pic>
      <xdr:nvPicPr>
        <xdr:cNvPr id="0" name="image2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iosl-tec.co.jp/java/377/" TargetMode="External"/><Relationship Id="rId10" Type="http://schemas.openxmlformats.org/officeDocument/2006/relationships/hyperlink" Target="https://qiita.com/tiagoyamashita/items/3b7dec9405030281b07a" TargetMode="External"/><Relationship Id="rId13" Type="http://schemas.openxmlformats.org/officeDocument/2006/relationships/hyperlink" Target="https://qiita.com/shoko93/items/99d95c292a78f3a77597" TargetMode="External"/><Relationship Id="rId12" Type="http://schemas.openxmlformats.org/officeDocument/2006/relationships/hyperlink" Target="https://syslog.life/2020/08/13/spring-boot-mysql-jdbc-%E6%8E%A5%E7%B6%9A-%E8%A8%AD%E5%AE%9A/" TargetMode="External"/><Relationship Id="rId1" Type="http://schemas.openxmlformats.org/officeDocument/2006/relationships/hyperlink" Target="https://iteng-pom.com/archives/613" TargetMode="External"/><Relationship Id="rId2" Type="http://schemas.openxmlformats.org/officeDocument/2006/relationships/hyperlink" Target="http://sparkling-software.club/pekublog/?p=989" TargetMode="External"/><Relationship Id="rId3" Type="http://schemas.openxmlformats.org/officeDocument/2006/relationships/hyperlink" Target="https://qiita.com/ukiuni@github/items/a516439b30c340703292" TargetMode="External"/><Relationship Id="rId4" Type="http://schemas.openxmlformats.org/officeDocument/2006/relationships/hyperlink" Target="https://github.com/acro-yoshizaki/acrovision-book-library.git" TargetMode="External"/><Relationship Id="rId9" Type="http://schemas.openxmlformats.org/officeDocument/2006/relationships/hyperlink" Target="https://dicre.com/program/java/javadb.php" TargetMode="External"/><Relationship Id="rId15" Type="http://schemas.openxmlformats.org/officeDocument/2006/relationships/hyperlink" Target="https://teratail.com/questions/111052" TargetMode="External"/><Relationship Id="rId14" Type="http://schemas.openxmlformats.org/officeDocument/2006/relationships/hyperlink" Target="https://syslog.life/2019/09/04/spring-boot-hello-world-%E8%A1%A8%E7%A4%BA-%E7%94%BB%E9%9D%A2%E9%81%B7%E7%A7%BB-%E5%AE%9F%E8%A3%85/" TargetMode="External"/><Relationship Id="rId17" Type="http://schemas.openxmlformats.org/officeDocument/2006/relationships/hyperlink" Target="https://penguinlabo.hatenablog.com/entry/springboot/web/3_implementsview" TargetMode="External"/><Relationship Id="rId16" Type="http://schemas.openxmlformats.org/officeDocument/2006/relationships/hyperlink" Target="https://qiita.com/yagi_eng/items/75935518851f67ca501e" TargetMode="External"/><Relationship Id="rId5" Type="http://schemas.openxmlformats.org/officeDocument/2006/relationships/hyperlink" Target="https://qiita.com/L_A_P_119611/items/e44367ab6336f2fd09ea" TargetMode="External"/><Relationship Id="rId6" Type="http://schemas.openxmlformats.org/officeDocument/2006/relationships/hyperlink" Target="https://codezine.jp/static/ad/index.html?ref=https%3A%2F%2Fcodezine.jp%2Farticle%2Fdetail%2F11546" TargetMode="External"/><Relationship Id="rId18" Type="http://schemas.openxmlformats.org/officeDocument/2006/relationships/drawing" Target="../drawings/drawing3.xml"/><Relationship Id="rId7" Type="http://schemas.openxmlformats.org/officeDocument/2006/relationships/hyperlink" Target="https://www.opentone.co.jp/news/release/article04/article0401.html" TargetMode="External"/><Relationship Id="rId8" Type="http://schemas.openxmlformats.org/officeDocument/2006/relationships/hyperlink" Target="https://kageura.hatenadiary.jp/entry/2019/01/22/Java_%E3%82%AF%E3%83%A9%E3%82%A4%E3%83%B3%E3%83%88%E9%96%8B%E7%99%BA%E3%81%AB%E3%81%8A%E3%81%91%E3%82%8B_Web_API_%E3%81%AE%E5%AE%9F%E8%A3%85%E3%82%A2%E3%83%97%E3%83%AD%E3%83%BC%E3%83%81%EF%BC%9A_5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iita.com/sunstripe2011/items/9230396febfab2eae2c2" TargetMode="External"/><Relationship Id="rId2" Type="http://schemas.openxmlformats.org/officeDocument/2006/relationships/hyperlink" Target="https://transcosmos-ecx.jp/blog/55" TargetMode="External"/><Relationship Id="rId3" Type="http://schemas.openxmlformats.org/officeDocument/2006/relationships/hyperlink" Target="https://ad-sho-loko.hatenablog.com/entry/2018/11/23/145033" TargetMode="External"/><Relationship Id="rId4" Type="http://schemas.openxmlformats.org/officeDocument/2006/relationships/hyperlink" Target="https://qiita.com/uenosy/items/ba9dbc70781bddc4a491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cacoo.com/ja/blog/what-is-sequence-diagram/" TargetMode="External"/><Relationship Id="rId2" Type="http://schemas.openxmlformats.org/officeDocument/2006/relationships/hyperlink" Target="https://www.itsenka.com/contents/development/uml/sequence.html" TargetMode="External"/><Relationship Id="rId3" Type="http://schemas.openxmlformats.org/officeDocument/2006/relationships/hyperlink" Target="https://medium-company.com/%E3%82%B7%E3%83%BC%E3%82%B1%E3%83%B3%E3%82%B9%E5%9B%B3/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a5m2.mmatsubara.com/help/DBTree/tableDefine.html" TargetMode="External"/><Relationship Id="rId2" Type="http://schemas.openxmlformats.org/officeDocument/2006/relationships/hyperlink" Target="https://itconsultant-dictionary.com/table-definition-sample/" TargetMode="External"/><Relationship Id="rId3" Type="http://schemas.openxmlformats.org/officeDocument/2006/relationships/hyperlink" Target="https://www.softel.co.jp/blogs/tech/archives/5061" TargetMode="External"/><Relationship Id="rId4" Type="http://schemas.openxmlformats.org/officeDocument/2006/relationships/hyperlink" Target="https://isbn.jpo.or.jp/index.php/fix__about/fix__about_2/" TargetMode="External"/><Relationship Id="rId5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4.43" defaultRowHeight="15.0"/>
  <cols>
    <col customWidth="1" min="1" max="1" width="5.71"/>
    <col customWidth="1" min="2" max="2" width="23.71"/>
    <col customWidth="1" min="3" max="3" width="43.29"/>
    <col customWidth="1" min="4" max="4" width="8.71"/>
    <col customWidth="1" min="5" max="5" width="8.57"/>
    <col customWidth="1" min="6" max="6" width="13.29"/>
    <col customWidth="1" min="7" max="7" width="12.0"/>
    <col customWidth="1" min="8" max="8" width="3.14"/>
    <col customWidth="1" min="9" max="16" width="3.0"/>
    <col customWidth="1" min="17" max="17" width="3.14"/>
    <col customWidth="1" min="18" max="18" width="3.0"/>
    <col customWidth="1" min="19" max="38" width="3.14"/>
    <col customWidth="1" min="39" max="47" width="3.0"/>
    <col customWidth="1" min="48" max="48" width="3.14"/>
    <col customWidth="1" min="49" max="49" width="3.0"/>
    <col customWidth="1" min="50" max="69" width="3.14"/>
    <col customWidth="1" min="70" max="77" width="3.0"/>
    <col customWidth="1" min="78" max="78" width="3.14"/>
    <col customWidth="1" min="79" max="79" width="3.0"/>
  </cols>
  <sheetData>
    <row r="1" ht="15.75" customHeight="1">
      <c r="A1" s="1"/>
      <c r="B1" s="2"/>
      <c r="C1" s="2"/>
      <c r="D1" s="2"/>
      <c r="E1" s="3"/>
      <c r="F1" s="4" t="str">
        <f>"完了率："&amp;round(countifs($G5:$G708, "完了")/(countifs($G5:$G708, "未")+countifs($G5:$G708, "完了")+countifs($G5:$G708, "作業中"))*100, 1)&amp;"%"</f>
        <v>完了率：0%</v>
      </c>
      <c r="G1" s="5" t="str">
        <f>IFERROR(__xludf.DUMMYFUNCTION("SPARKLINE(countifs($G5:$G708, ""完了"")/(countifs($G5:$G708, ""未"")+countifs($G5:$G708, ""完了""))*100,{""charttype"",""bar"";""max"",100})"),"")</f>
        <v/>
      </c>
      <c r="H1" s="6">
        <f>MONTH(H2)</f>
        <v>2</v>
      </c>
      <c r="I1" s="6" t="str">
        <f t="shared" ref="I1:CA1" si="1">IF(MONTH(H2)=MONTH(I2),"",MONTH(I2))</f>
        <v/>
      </c>
      <c r="J1" s="6" t="str">
        <f t="shared" si="1"/>
        <v/>
      </c>
      <c r="K1" s="6" t="str">
        <f t="shared" si="1"/>
        <v/>
      </c>
      <c r="L1" s="6" t="str">
        <f t="shared" si="1"/>
        <v/>
      </c>
      <c r="M1" s="6" t="str">
        <f t="shared" si="1"/>
        <v/>
      </c>
      <c r="N1" s="6" t="str">
        <f t="shared" si="1"/>
        <v/>
      </c>
      <c r="O1" s="6" t="str">
        <f t="shared" si="1"/>
        <v/>
      </c>
      <c r="P1" s="6" t="str">
        <f t="shared" si="1"/>
        <v/>
      </c>
      <c r="Q1" s="6" t="str">
        <f t="shared" si="1"/>
        <v/>
      </c>
      <c r="R1" s="6" t="str">
        <f t="shared" si="1"/>
        <v/>
      </c>
      <c r="S1" s="6" t="str">
        <f t="shared" si="1"/>
        <v/>
      </c>
      <c r="T1" s="6" t="str">
        <f t="shared" si="1"/>
        <v/>
      </c>
      <c r="U1" s="6" t="str">
        <f t="shared" si="1"/>
        <v/>
      </c>
      <c r="V1" s="6">
        <f t="shared" si="1"/>
        <v>3</v>
      </c>
      <c r="W1" s="6" t="str">
        <f t="shared" si="1"/>
        <v/>
      </c>
      <c r="X1" s="6" t="str">
        <f t="shared" si="1"/>
        <v/>
      </c>
      <c r="Y1" s="6" t="str">
        <f t="shared" si="1"/>
        <v/>
      </c>
      <c r="Z1" s="6" t="str">
        <f t="shared" si="1"/>
        <v/>
      </c>
      <c r="AA1" s="6" t="str">
        <f t="shared" si="1"/>
        <v/>
      </c>
      <c r="AB1" s="6" t="str">
        <f t="shared" si="1"/>
        <v/>
      </c>
      <c r="AC1" s="6" t="str">
        <f t="shared" si="1"/>
        <v/>
      </c>
      <c r="AD1" s="6" t="str">
        <f t="shared" si="1"/>
        <v/>
      </c>
      <c r="AE1" s="6" t="str">
        <f t="shared" si="1"/>
        <v/>
      </c>
      <c r="AF1" s="6" t="str">
        <f t="shared" si="1"/>
        <v/>
      </c>
      <c r="AG1" s="6" t="str">
        <f t="shared" si="1"/>
        <v/>
      </c>
      <c r="AH1" s="6" t="str">
        <f t="shared" si="1"/>
        <v/>
      </c>
      <c r="AI1" s="6" t="str">
        <f t="shared" si="1"/>
        <v/>
      </c>
      <c r="AJ1" s="6" t="str">
        <f t="shared" si="1"/>
        <v/>
      </c>
      <c r="AK1" s="6" t="str">
        <f t="shared" si="1"/>
        <v/>
      </c>
      <c r="AL1" s="6" t="str">
        <f t="shared" si="1"/>
        <v/>
      </c>
      <c r="AM1" s="6" t="str">
        <f t="shared" si="1"/>
        <v/>
      </c>
      <c r="AN1" s="6" t="str">
        <f t="shared" si="1"/>
        <v/>
      </c>
      <c r="AO1" s="6" t="str">
        <f t="shared" si="1"/>
        <v/>
      </c>
      <c r="AP1" s="6" t="str">
        <f t="shared" si="1"/>
        <v/>
      </c>
      <c r="AQ1" s="6" t="str">
        <f t="shared" si="1"/>
        <v/>
      </c>
      <c r="AR1" s="6" t="str">
        <f t="shared" si="1"/>
        <v/>
      </c>
      <c r="AS1" s="6" t="str">
        <f t="shared" si="1"/>
        <v/>
      </c>
      <c r="AT1" s="6" t="str">
        <f t="shared" si="1"/>
        <v/>
      </c>
      <c r="AU1" s="6" t="str">
        <f t="shared" si="1"/>
        <v/>
      </c>
      <c r="AV1" s="6" t="str">
        <f t="shared" si="1"/>
        <v/>
      </c>
      <c r="AW1" s="6" t="str">
        <f t="shared" si="1"/>
        <v/>
      </c>
      <c r="AX1" s="6" t="str">
        <f t="shared" si="1"/>
        <v/>
      </c>
      <c r="AY1" s="6" t="str">
        <f t="shared" si="1"/>
        <v/>
      </c>
      <c r="AZ1" s="6" t="str">
        <f t="shared" si="1"/>
        <v/>
      </c>
      <c r="BA1" s="6">
        <f t="shared" si="1"/>
        <v>4</v>
      </c>
      <c r="BB1" s="6" t="str">
        <f t="shared" si="1"/>
        <v/>
      </c>
      <c r="BC1" s="6" t="str">
        <f t="shared" si="1"/>
        <v/>
      </c>
      <c r="BD1" s="6" t="str">
        <f t="shared" si="1"/>
        <v/>
      </c>
      <c r="BE1" s="6" t="str">
        <f t="shared" si="1"/>
        <v/>
      </c>
      <c r="BF1" s="6" t="str">
        <f t="shared" si="1"/>
        <v/>
      </c>
      <c r="BG1" s="6" t="str">
        <f t="shared" si="1"/>
        <v/>
      </c>
      <c r="BH1" s="6" t="str">
        <f t="shared" si="1"/>
        <v/>
      </c>
      <c r="BI1" s="6" t="str">
        <f t="shared" si="1"/>
        <v/>
      </c>
      <c r="BJ1" s="6" t="str">
        <f t="shared" si="1"/>
        <v/>
      </c>
      <c r="BK1" s="6" t="str">
        <f t="shared" si="1"/>
        <v/>
      </c>
      <c r="BL1" s="6" t="str">
        <f t="shared" si="1"/>
        <v/>
      </c>
      <c r="BM1" s="6" t="str">
        <f t="shared" si="1"/>
        <v/>
      </c>
      <c r="BN1" s="6" t="str">
        <f t="shared" si="1"/>
        <v/>
      </c>
      <c r="BO1" s="6" t="str">
        <f t="shared" si="1"/>
        <v/>
      </c>
      <c r="BP1" s="6" t="str">
        <f t="shared" si="1"/>
        <v/>
      </c>
      <c r="BQ1" s="6" t="str">
        <f t="shared" si="1"/>
        <v/>
      </c>
      <c r="BR1" s="6" t="str">
        <f t="shared" si="1"/>
        <v/>
      </c>
      <c r="BS1" s="6" t="str">
        <f t="shared" si="1"/>
        <v/>
      </c>
      <c r="BT1" s="6" t="str">
        <f t="shared" si="1"/>
        <v/>
      </c>
      <c r="BU1" s="6" t="str">
        <f t="shared" si="1"/>
        <v/>
      </c>
      <c r="BV1" s="6" t="str">
        <f t="shared" si="1"/>
        <v/>
      </c>
      <c r="BW1" s="6" t="str">
        <f t="shared" si="1"/>
        <v/>
      </c>
      <c r="BX1" s="6" t="str">
        <f t="shared" si="1"/>
        <v/>
      </c>
      <c r="BY1" s="6" t="str">
        <f t="shared" si="1"/>
        <v/>
      </c>
      <c r="BZ1" s="6" t="str">
        <f t="shared" si="1"/>
        <v/>
      </c>
      <c r="CA1" s="6" t="str">
        <f t="shared" si="1"/>
        <v/>
      </c>
    </row>
    <row r="2" ht="15.75" customHeight="1">
      <c r="A2" s="1" t="s">
        <v>0</v>
      </c>
      <c r="B2" s="7" t="s">
        <v>1</v>
      </c>
      <c r="C2" s="8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>
        <f>DB!B3</f>
        <v>44242</v>
      </c>
      <c r="I2" s="11">
        <f t="shared" ref="I2:CA2" si="2">H2+1</f>
        <v>44243</v>
      </c>
      <c r="J2" s="11">
        <f t="shared" si="2"/>
        <v>44244</v>
      </c>
      <c r="K2" s="11">
        <f t="shared" si="2"/>
        <v>44245</v>
      </c>
      <c r="L2" s="11">
        <f t="shared" si="2"/>
        <v>44246</v>
      </c>
      <c r="M2" s="11">
        <f t="shared" si="2"/>
        <v>44247</v>
      </c>
      <c r="N2" s="11">
        <f t="shared" si="2"/>
        <v>44248</v>
      </c>
      <c r="O2" s="11">
        <f t="shared" si="2"/>
        <v>44249</v>
      </c>
      <c r="P2" s="12">
        <f t="shared" si="2"/>
        <v>44250</v>
      </c>
      <c r="Q2" s="11">
        <f t="shared" si="2"/>
        <v>44251</v>
      </c>
      <c r="R2" s="11">
        <f t="shared" si="2"/>
        <v>44252</v>
      </c>
      <c r="S2" s="11">
        <f t="shared" si="2"/>
        <v>44253</v>
      </c>
      <c r="T2" s="11">
        <f t="shared" si="2"/>
        <v>44254</v>
      </c>
      <c r="U2" s="11">
        <f t="shared" si="2"/>
        <v>44255</v>
      </c>
      <c r="V2" s="11">
        <f t="shared" si="2"/>
        <v>44256</v>
      </c>
      <c r="W2" s="11">
        <f t="shared" si="2"/>
        <v>44257</v>
      </c>
      <c r="X2" s="11">
        <f t="shared" si="2"/>
        <v>44258</v>
      </c>
      <c r="Y2" s="11">
        <f t="shared" si="2"/>
        <v>44259</v>
      </c>
      <c r="Z2" s="11">
        <f t="shared" si="2"/>
        <v>44260</v>
      </c>
      <c r="AA2" s="11">
        <f t="shared" si="2"/>
        <v>44261</v>
      </c>
      <c r="AB2" s="11">
        <f t="shared" si="2"/>
        <v>44262</v>
      </c>
      <c r="AC2" s="11">
        <f t="shared" si="2"/>
        <v>44263</v>
      </c>
      <c r="AD2" s="11">
        <f t="shared" si="2"/>
        <v>44264</v>
      </c>
      <c r="AE2" s="11">
        <f t="shared" si="2"/>
        <v>44265</v>
      </c>
      <c r="AF2" s="11">
        <f t="shared" si="2"/>
        <v>44266</v>
      </c>
      <c r="AG2" s="11">
        <f t="shared" si="2"/>
        <v>44267</v>
      </c>
      <c r="AH2" s="11">
        <f t="shared" si="2"/>
        <v>44268</v>
      </c>
      <c r="AI2" s="11">
        <f t="shared" si="2"/>
        <v>44269</v>
      </c>
      <c r="AJ2" s="11">
        <f t="shared" si="2"/>
        <v>44270</v>
      </c>
      <c r="AK2" s="11">
        <f t="shared" si="2"/>
        <v>44271</v>
      </c>
      <c r="AL2" s="11">
        <f t="shared" si="2"/>
        <v>44272</v>
      </c>
      <c r="AM2" s="11">
        <f t="shared" si="2"/>
        <v>44273</v>
      </c>
      <c r="AN2" s="11">
        <f t="shared" si="2"/>
        <v>44274</v>
      </c>
      <c r="AO2" s="11">
        <f t="shared" si="2"/>
        <v>44275</v>
      </c>
      <c r="AP2" s="11">
        <f t="shared" si="2"/>
        <v>44276</v>
      </c>
      <c r="AQ2" s="11">
        <f t="shared" si="2"/>
        <v>44277</v>
      </c>
      <c r="AR2" s="11">
        <f t="shared" si="2"/>
        <v>44278</v>
      </c>
      <c r="AS2" s="11">
        <f t="shared" si="2"/>
        <v>44279</v>
      </c>
      <c r="AT2" s="11">
        <f t="shared" si="2"/>
        <v>44280</v>
      </c>
      <c r="AU2" s="11">
        <f t="shared" si="2"/>
        <v>44281</v>
      </c>
      <c r="AV2" s="11">
        <f t="shared" si="2"/>
        <v>44282</v>
      </c>
      <c r="AW2" s="11">
        <f t="shared" si="2"/>
        <v>44283</v>
      </c>
      <c r="AX2" s="11">
        <f t="shared" si="2"/>
        <v>44284</v>
      </c>
      <c r="AY2" s="11">
        <f t="shared" si="2"/>
        <v>44285</v>
      </c>
      <c r="AZ2" s="11">
        <f t="shared" si="2"/>
        <v>44286</v>
      </c>
      <c r="BA2" s="11">
        <f t="shared" si="2"/>
        <v>44287</v>
      </c>
      <c r="BB2" s="11">
        <f t="shared" si="2"/>
        <v>44288</v>
      </c>
      <c r="BC2" s="11">
        <f t="shared" si="2"/>
        <v>44289</v>
      </c>
      <c r="BD2" s="11">
        <f t="shared" si="2"/>
        <v>44290</v>
      </c>
      <c r="BE2" s="11">
        <f t="shared" si="2"/>
        <v>44291</v>
      </c>
      <c r="BF2" s="11">
        <f t="shared" si="2"/>
        <v>44292</v>
      </c>
      <c r="BG2" s="11">
        <f t="shared" si="2"/>
        <v>44293</v>
      </c>
      <c r="BH2" s="11">
        <f t="shared" si="2"/>
        <v>44294</v>
      </c>
      <c r="BI2" s="11">
        <f t="shared" si="2"/>
        <v>44295</v>
      </c>
      <c r="BJ2" s="11">
        <f t="shared" si="2"/>
        <v>44296</v>
      </c>
      <c r="BK2" s="11">
        <f t="shared" si="2"/>
        <v>44297</v>
      </c>
      <c r="BL2" s="11">
        <f t="shared" si="2"/>
        <v>44298</v>
      </c>
      <c r="BM2" s="11">
        <f t="shared" si="2"/>
        <v>44299</v>
      </c>
      <c r="BN2" s="11">
        <f t="shared" si="2"/>
        <v>44300</v>
      </c>
      <c r="BO2" s="11">
        <f t="shared" si="2"/>
        <v>44301</v>
      </c>
      <c r="BP2" s="11">
        <f t="shared" si="2"/>
        <v>44302</v>
      </c>
      <c r="BQ2" s="11">
        <f t="shared" si="2"/>
        <v>44303</v>
      </c>
      <c r="BR2" s="11">
        <f t="shared" si="2"/>
        <v>44304</v>
      </c>
      <c r="BS2" s="11">
        <f t="shared" si="2"/>
        <v>44305</v>
      </c>
      <c r="BT2" s="11">
        <f t="shared" si="2"/>
        <v>44306</v>
      </c>
      <c r="BU2" s="11">
        <f t="shared" si="2"/>
        <v>44307</v>
      </c>
      <c r="BV2" s="11">
        <f t="shared" si="2"/>
        <v>44308</v>
      </c>
      <c r="BW2" s="11">
        <f t="shared" si="2"/>
        <v>44309</v>
      </c>
      <c r="BX2" s="11">
        <f t="shared" si="2"/>
        <v>44310</v>
      </c>
      <c r="BY2" s="11">
        <f t="shared" si="2"/>
        <v>44311</v>
      </c>
      <c r="BZ2" s="11">
        <f t="shared" si="2"/>
        <v>44312</v>
      </c>
      <c r="CA2" s="11">
        <f t="shared" si="2"/>
        <v>44313</v>
      </c>
    </row>
    <row r="3" ht="15.75" customHeight="1">
      <c r="A3" s="13"/>
      <c r="B3" s="14"/>
      <c r="C3" s="15"/>
      <c r="D3" s="13"/>
      <c r="E3" s="13"/>
      <c r="F3" s="13"/>
      <c r="G3" s="13"/>
      <c r="H3" s="16" t="str">
        <f t="shared" ref="H3:CA3" si="3">TEXT(H2,"ddd")</f>
        <v>月</v>
      </c>
      <c r="I3" s="17" t="str">
        <f t="shared" si="3"/>
        <v>火</v>
      </c>
      <c r="J3" s="17" t="str">
        <f t="shared" si="3"/>
        <v>水</v>
      </c>
      <c r="K3" s="17" t="str">
        <f t="shared" si="3"/>
        <v>木</v>
      </c>
      <c r="L3" s="17" t="str">
        <f t="shared" si="3"/>
        <v>金</v>
      </c>
      <c r="M3" s="17" t="str">
        <f t="shared" si="3"/>
        <v>土</v>
      </c>
      <c r="N3" s="17" t="str">
        <f t="shared" si="3"/>
        <v>日</v>
      </c>
      <c r="O3" s="17" t="str">
        <f t="shared" si="3"/>
        <v>月</v>
      </c>
      <c r="P3" s="18" t="str">
        <f t="shared" si="3"/>
        <v>火</v>
      </c>
      <c r="Q3" s="17" t="str">
        <f t="shared" si="3"/>
        <v>水</v>
      </c>
      <c r="R3" s="17" t="str">
        <f t="shared" si="3"/>
        <v>木</v>
      </c>
      <c r="S3" s="17" t="str">
        <f t="shared" si="3"/>
        <v>金</v>
      </c>
      <c r="T3" s="17" t="str">
        <f t="shared" si="3"/>
        <v>土</v>
      </c>
      <c r="U3" s="17" t="str">
        <f t="shared" si="3"/>
        <v>日</v>
      </c>
      <c r="V3" s="17" t="str">
        <f t="shared" si="3"/>
        <v>月</v>
      </c>
      <c r="W3" s="17" t="str">
        <f t="shared" si="3"/>
        <v>火</v>
      </c>
      <c r="X3" s="17" t="str">
        <f t="shared" si="3"/>
        <v>水</v>
      </c>
      <c r="Y3" s="17" t="str">
        <f t="shared" si="3"/>
        <v>木</v>
      </c>
      <c r="Z3" s="17" t="str">
        <f t="shared" si="3"/>
        <v>金</v>
      </c>
      <c r="AA3" s="17" t="str">
        <f t="shared" si="3"/>
        <v>土</v>
      </c>
      <c r="AB3" s="17" t="str">
        <f t="shared" si="3"/>
        <v>日</v>
      </c>
      <c r="AC3" s="17" t="str">
        <f t="shared" si="3"/>
        <v>月</v>
      </c>
      <c r="AD3" s="17" t="str">
        <f t="shared" si="3"/>
        <v>火</v>
      </c>
      <c r="AE3" s="17" t="str">
        <f t="shared" si="3"/>
        <v>水</v>
      </c>
      <c r="AF3" s="17" t="str">
        <f t="shared" si="3"/>
        <v>木</v>
      </c>
      <c r="AG3" s="17" t="str">
        <f t="shared" si="3"/>
        <v>金</v>
      </c>
      <c r="AH3" s="17" t="str">
        <f t="shared" si="3"/>
        <v>土</v>
      </c>
      <c r="AI3" s="17" t="str">
        <f t="shared" si="3"/>
        <v>日</v>
      </c>
      <c r="AJ3" s="17" t="str">
        <f t="shared" si="3"/>
        <v>月</v>
      </c>
      <c r="AK3" s="17" t="str">
        <f t="shared" si="3"/>
        <v>火</v>
      </c>
      <c r="AL3" s="17" t="str">
        <f t="shared" si="3"/>
        <v>水</v>
      </c>
      <c r="AM3" s="17" t="str">
        <f t="shared" si="3"/>
        <v>木</v>
      </c>
      <c r="AN3" s="17" t="str">
        <f t="shared" si="3"/>
        <v>金</v>
      </c>
      <c r="AO3" s="17" t="str">
        <f t="shared" si="3"/>
        <v>土</v>
      </c>
      <c r="AP3" s="17" t="str">
        <f t="shared" si="3"/>
        <v>日</v>
      </c>
      <c r="AQ3" s="17" t="str">
        <f t="shared" si="3"/>
        <v>月</v>
      </c>
      <c r="AR3" s="17" t="str">
        <f t="shared" si="3"/>
        <v>火</v>
      </c>
      <c r="AS3" s="17" t="str">
        <f t="shared" si="3"/>
        <v>水</v>
      </c>
      <c r="AT3" s="17" t="str">
        <f t="shared" si="3"/>
        <v>木</v>
      </c>
      <c r="AU3" s="17" t="str">
        <f t="shared" si="3"/>
        <v>金</v>
      </c>
      <c r="AV3" s="17" t="str">
        <f t="shared" si="3"/>
        <v>土</v>
      </c>
      <c r="AW3" s="17" t="str">
        <f t="shared" si="3"/>
        <v>日</v>
      </c>
      <c r="AX3" s="17" t="str">
        <f t="shared" si="3"/>
        <v>月</v>
      </c>
      <c r="AY3" s="17" t="str">
        <f t="shared" si="3"/>
        <v>火</v>
      </c>
      <c r="AZ3" s="17" t="str">
        <f t="shared" si="3"/>
        <v>水</v>
      </c>
      <c r="BA3" s="17" t="str">
        <f t="shared" si="3"/>
        <v>木</v>
      </c>
      <c r="BB3" s="17" t="str">
        <f t="shared" si="3"/>
        <v>金</v>
      </c>
      <c r="BC3" s="17" t="str">
        <f t="shared" si="3"/>
        <v>土</v>
      </c>
      <c r="BD3" s="17" t="str">
        <f t="shared" si="3"/>
        <v>日</v>
      </c>
      <c r="BE3" s="17" t="str">
        <f t="shared" si="3"/>
        <v>月</v>
      </c>
      <c r="BF3" s="17" t="str">
        <f t="shared" si="3"/>
        <v>火</v>
      </c>
      <c r="BG3" s="17" t="str">
        <f t="shared" si="3"/>
        <v>水</v>
      </c>
      <c r="BH3" s="17" t="str">
        <f t="shared" si="3"/>
        <v>木</v>
      </c>
      <c r="BI3" s="17" t="str">
        <f t="shared" si="3"/>
        <v>金</v>
      </c>
      <c r="BJ3" s="17" t="str">
        <f t="shared" si="3"/>
        <v>土</v>
      </c>
      <c r="BK3" s="17" t="str">
        <f t="shared" si="3"/>
        <v>日</v>
      </c>
      <c r="BL3" s="17" t="str">
        <f t="shared" si="3"/>
        <v>月</v>
      </c>
      <c r="BM3" s="17" t="str">
        <f t="shared" si="3"/>
        <v>火</v>
      </c>
      <c r="BN3" s="17" t="str">
        <f t="shared" si="3"/>
        <v>水</v>
      </c>
      <c r="BO3" s="17" t="str">
        <f t="shared" si="3"/>
        <v>木</v>
      </c>
      <c r="BP3" s="17" t="str">
        <f t="shared" si="3"/>
        <v>金</v>
      </c>
      <c r="BQ3" s="17" t="str">
        <f t="shared" si="3"/>
        <v>土</v>
      </c>
      <c r="BR3" s="17" t="str">
        <f t="shared" si="3"/>
        <v>日</v>
      </c>
      <c r="BS3" s="17" t="str">
        <f t="shared" si="3"/>
        <v>月</v>
      </c>
      <c r="BT3" s="17" t="str">
        <f t="shared" si="3"/>
        <v>火</v>
      </c>
      <c r="BU3" s="17" t="str">
        <f t="shared" si="3"/>
        <v>水</v>
      </c>
      <c r="BV3" s="17" t="str">
        <f t="shared" si="3"/>
        <v>木</v>
      </c>
      <c r="BW3" s="17" t="str">
        <f t="shared" si="3"/>
        <v>金</v>
      </c>
      <c r="BX3" s="17" t="str">
        <f t="shared" si="3"/>
        <v>土</v>
      </c>
      <c r="BY3" s="17" t="str">
        <f t="shared" si="3"/>
        <v>日</v>
      </c>
      <c r="BZ3" s="17" t="str">
        <f t="shared" si="3"/>
        <v>月</v>
      </c>
      <c r="CA3" s="17" t="str">
        <f t="shared" si="3"/>
        <v>火</v>
      </c>
    </row>
    <row r="4" ht="15.75" customHeight="1">
      <c r="A4" s="19"/>
      <c r="B4" s="20" t="s">
        <v>7</v>
      </c>
      <c r="C4" s="21"/>
      <c r="D4" s="22"/>
      <c r="E4" s="22"/>
      <c r="F4" s="20" t="s">
        <v>8</v>
      </c>
      <c r="G4" s="20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23">
        <f>if(countif(C5,"&lt;&gt;"),1,"")</f>
        <v>1</v>
      </c>
      <c r="B5" s="24"/>
      <c r="C5" s="25" t="s">
        <v>9</v>
      </c>
      <c r="D5" s="26">
        <v>44242.0</v>
      </c>
      <c r="E5" s="27">
        <v>44244.0</v>
      </c>
      <c r="F5" s="28" t="s">
        <v>10</v>
      </c>
      <c r="G5" s="20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</row>
    <row r="6" ht="15.75" customHeight="1">
      <c r="A6" s="30">
        <f t="shared" ref="A6:A18" si="4">if(countif(C6,"&lt;&gt;"),max($A$5:A5)+1,"")</f>
        <v>2</v>
      </c>
      <c r="B6" s="31"/>
      <c r="C6" s="25" t="s">
        <v>9</v>
      </c>
      <c r="D6" s="26">
        <v>44242.0</v>
      </c>
      <c r="E6" s="27">
        <v>44244.0</v>
      </c>
      <c r="F6" s="20" t="s">
        <v>11</v>
      </c>
      <c r="G6" s="20" t="s">
        <v>8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</row>
    <row r="7" ht="15.75" customHeight="1">
      <c r="A7" s="30">
        <f t="shared" si="4"/>
        <v>3</v>
      </c>
      <c r="B7" s="31"/>
      <c r="C7" s="32" t="s">
        <v>12</v>
      </c>
      <c r="D7" s="26">
        <v>44242.0</v>
      </c>
      <c r="E7" s="27">
        <v>44244.0</v>
      </c>
      <c r="F7" s="28" t="s">
        <v>10</v>
      </c>
      <c r="G7" s="20" t="s">
        <v>8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</row>
    <row r="8" ht="15.75" customHeight="1">
      <c r="A8" s="30">
        <f t="shared" si="4"/>
        <v>4</v>
      </c>
      <c r="B8" s="31"/>
      <c r="C8" s="32" t="s">
        <v>12</v>
      </c>
      <c r="D8" s="26">
        <v>44242.0</v>
      </c>
      <c r="E8" s="27">
        <v>44244.0</v>
      </c>
      <c r="F8" s="20" t="s">
        <v>11</v>
      </c>
      <c r="G8" s="20" t="s">
        <v>8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</row>
    <row r="9" ht="15.75" customHeight="1">
      <c r="A9" s="30" t="str">
        <f t="shared" si="4"/>
        <v/>
      </c>
      <c r="B9" s="31"/>
      <c r="C9" s="32"/>
      <c r="D9" s="26"/>
      <c r="E9" s="33"/>
      <c r="F9" s="31"/>
      <c r="G9" s="21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</row>
    <row r="10" ht="15.75" customHeight="1">
      <c r="A10" s="30" t="str">
        <f t="shared" si="4"/>
        <v/>
      </c>
      <c r="B10" s="31"/>
      <c r="C10" s="32"/>
      <c r="D10" s="26"/>
      <c r="E10" s="33"/>
      <c r="F10" s="31"/>
      <c r="G10" s="21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</row>
    <row r="11" ht="15.75" customHeight="1">
      <c r="A11" s="30" t="str">
        <f t="shared" si="4"/>
        <v/>
      </c>
      <c r="B11" s="31"/>
      <c r="C11" s="31"/>
      <c r="D11" s="33"/>
      <c r="E11" s="33"/>
      <c r="F11" s="31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</row>
    <row r="12" ht="15.75" customHeight="1">
      <c r="A12" s="30" t="str">
        <f t="shared" si="4"/>
        <v/>
      </c>
      <c r="B12" s="31"/>
      <c r="C12" s="31"/>
      <c r="D12" s="33"/>
      <c r="E12" s="33"/>
      <c r="F12" s="31"/>
      <c r="G12" s="21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</row>
    <row r="13" ht="15.75" customHeight="1">
      <c r="A13" s="30" t="str">
        <f t="shared" si="4"/>
        <v/>
      </c>
      <c r="B13" s="31"/>
      <c r="C13" s="31"/>
      <c r="D13" s="33"/>
      <c r="E13" s="33"/>
      <c r="F13" s="31"/>
      <c r="G13" s="21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</row>
    <row r="14" ht="15.75" customHeight="1">
      <c r="A14" s="30" t="str">
        <f t="shared" si="4"/>
        <v/>
      </c>
      <c r="B14" s="31"/>
      <c r="C14" s="31"/>
      <c r="D14" s="33"/>
      <c r="E14" s="33"/>
      <c r="F14" s="31"/>
      <c r="G14" s="21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</row>
    <row r="15" ht="15.75" customHeight="1">
      <c r="A15" s="30" t="str">
        <f t="shared" si="4"/>
        <v/>
      </c>
      <c r="B15" s="31"/>
      <c r="C15" s="31"/>
      <c r="D15" s="33"/>
      <c r="E15" s="33"/>
      <c r="F15" s="31"/>
      <c r="G15" s="21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</row>
    <row r="16" ht="15.75" customHeight="1">
      <c r="A16" s="30" t="str">
        <f t="shared" si="4"/>
        <v/>
      </c>
      <c r="B16" s="31"/>
      <c r="C16" s="31"/>
      <c r="D16" s="33"/>
      <c r="E16" s="33"/>
      <c r="F16" s="31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</row>
    <row r="17" ht="15.75" customHeight="1">
      <c r="A17" s="30" t="str">
        <f t="shared" si="4"/>
        <v/>
      </c>
      <c r="B17" s="31"/>
      <c r="C17" s="31"/>
      <c r="D17" s="33"/>
      <c r="E17" s="33"/>
      <c r="F17" s="31"/>
      <c r="G17" s="21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</row>
    <row r="18" ht="15.75" customHeight="1">
      <c r="A18" s="30" t="str">
        <f t="shared" si="4"/>
        <v/>
      </c>
      <c r="B18" s="31"/>
      <c r="C18" s="31"/>
      <c r="D18" s="33"/>
      <c r="E18" s="33"/>
      <c r="F18" s="31"/>
      <c r="G18" s="21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</row>
    <row r="19" ht="15.75" customHeight="1">
      <c r="A19" s="30"/>
      <c r="B19" s="20" t="s">
        <v>13</v>
      </c>
      <c r="C19" s="31"/>
      <c r="D19" s="33"/>
      <c r="E19" s="33"/>
      <c r="F19" s="31"/>
      <c r="G19" s="21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</row>
    <row r="20" ht="15.75" customHeight="1">
      <c r="A20" s="23">
        <f>if(countif(C20,"&lt;&gt;"),1,"")</f>
        <v>1</v>
      </c>
      <c r="B20" s="31"/>
      <c r="C20" s="32" t="s">
        <v>14</v>
      </c>
      <c r="D20" s="26">
        <v>44242.0</v>
      </c>
      <c r="E20" s="27">
        <v>44244.0</v>
      </c>
      <c r="F20" s="32" t="s">
        <v>15</v>
      </c>
      <c r="G20" s="20" t="s">
        <v>8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</row>
    <row r="21" ht="15.75" customHeight="1">
      <c r="A21" s="30">
        <f t="shared" ref="A21:A33" si="5">if(countif(C21,"&lt;&gt;"),max($A$20:A20)+1,"")</f>
        <v>2</v>
      </c>
      <c r="B21" s="31"/>
      <c r="C21" s="32" t="s">
        <v>14</v>
      </c>
      <c r="D21" s="26">
        <v>44242.0</v>
      </c>
      <c r="E21" s="27">
        <v>44244.0</v>
      </c>
      <c r="F21" s="32" t="s">
        <v>16</v>
      </c>
      <c r="G21" s="20" t="s">
        <v>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</row>
    <row r="22" ht="15.75" customHeight="1">
      <c r="A22" s="30">
        <f t="shared" si="5"/>
        <v>3</v>
      </c>
      <c r="B22" s="31"/>
      <c r="C22" s="34" t="s">
        <v>12</v>
      </c>
      <c r="D22" s="26">
        <v>44242.0</v>
      </c>
      <c r="E22" s="27">
        <v>44244.0</v>
      </c>
      <c r="F22" s="32" t="s">
        <v>15</v>
      </c>
      <c r="G22" s="20" t="s">
        <v>8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</row>
    <row r="23" ht="15.75" customHeight="1">
      <c r="A23" s="30">
        <f t="shared" si="5"/>
        <v>4</v>
      </c>
      <c r="B23" s="31"/>
      <c r="C23" s="34" t="s">
        <v>12</v>
      </c>
      <c r="D23" s="26">
        <v>44242.0</v>
      </c>
      <c r="E23" s="27">
        <v>44244.0</v>
      </c>
      <c r="F23" s="32" t="s">
        <v>16</v>
      </c>
      <c r="G23" s="20" t="s">
        <v>8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</row>
    <row r="24" ht="15.75" customHeight="1">
      <c r="A24" s="30" t="str">
        <f t="shared" si="5"/>
        <v/>
      </c>
      <c r="B24" s="31"/>
      <c r="C24" s="31"/>
      <c r="D24" s="33"/>
      <c r="E24" s="33"/>
      <c r="F24" s="31"/>
      <c r="G24" s="21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</row>
    <row r="25" ht="15.75" customHeight="1">
      <c r="A25" s="30" t="str">
        <f t="shared" si="5"/>
        <v/>
      </c>
      <c r="B25" s="31"/>
      <c r="C25" s="31"/>
      <c r="D25" s="33"/>
      <c r="E25" s="33"/>
      <c r="F25" s="31"/>
      <c r="G25" s="21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</row>
    <row r="26" ht="15.75" customHeight="1">
      <c r="A26" s="30" t="str">
        <f t="shared" si="5"/>
        <v/>
      </c>
      <c r="B26" s="31"/>
      <c r="C26" s="31"/>
      <c r="D26" s="33"/>
      <c r="E26" s="33"/>
      <c r="F26" s="31"/>
      <c r="G26" s="21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</row>
    <row r="27" ht="15.75" customHeight="1">
      <c r="A27" s="30" t="str">
        <f t="shared" si="5"/>
        <v/>
      </c>
      <c r="B27" s="31"/>
      <c r="C27" s="31"/>
      <c r="D27" s="33"/>
      <c r="E27" s="33"/>
      <c r="F27" s="31"/>
      <c r="G27" s="21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</row>
    <row r="28" ht="15.75" customHeight="1">
      <c r="A28" s="30" t="str">
        <f t="shared" si="5"/>
        <v/>
      </c>
      <c r="B28" s="31"/>
      <c r="C28" s="31"/>
      <c r="D28" s="33"/>
      <c r="E28" s="33"/>
      <c r="F28" s="31"/>
      <c r="G28" s="21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</row>
    <row r="29" ht="15.75" customHeight="1">
      <c r="A29" s="30" t="str">
        <f t="shared" si="5"/>
        <v/>
      </c>
      <c r="B29" s="31"/>
      <c r="C29" s="31"/>
      <c r="D29" s="33"/>
      <c r="E29" s="33"/>
      <c r="F29" s="31"/>
      <c r="G29" s="21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</row>
    <row r="30" ht="15.75" customHeight="1">
      <c r="A30" s="30" t="str">
        <f t="shared" si="5"/>
        <v/>
      </c>
      <c r="B30" s="31"/>
      <c r="C30" s="31"/>
      <c r="D30" s="33"/>
      <c r="E30" s="33"/>
      <c r="F30" s="31"/>
      <c r="G30" s="21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</row>
    <row r="31" ht="15.75" customHeight="1">
      <c r="A31" s="30" t="str">
        <f t="shared" si="5"/>
        <v/>
      </c>
      <c r="B31" s="31"/>
      <c r="C31" s="31"/>
      <c r="D31" s="33"/>
      <c r="E31" s="33"/>
      <c r="F31" s="31"/>
      <c r="G31" s="21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</row>
    <row r="32" ht="15.75" customHeight="1">
      <c r="A32" s="30" t="str">
        <f t="shared" si="5"/>
        <v/>
      </c>
      <c r="B32" s="31"/>
      <c r="C32" s="31"/>
      <c r="D32" s="33"/>
      <c r="E32" s="33"/>
      <c r="F32" s="31"/>
      <c r="G32" s="21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</row>
    <row r="33" ht="15.75" customHeight="1">
      <c r="A33" s="30" t="str">
        <f t="shared" si="5"/>
        <v/>
      </c>
      <c r="B33" s="31"/>
      <c r="C33" s="31"/>
      <c r="D33" s="33"/>
      <c r="E33" s="33"/>
      <c r="F33" s="31"/>
      <c r="G33" s="21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</row>
    <row r="34" ht="15.75" customHeight="1">
      <c r="A34" s="30"/>
      <c r="B34" s="20" t="s">
        <v>17</v>
      </c>
      <c r="C34" s="31"/>
      <c r="D34" s="33"/>
      <c r="E34" s="33"/>
      <c r="F34" s="31"/>
      <c r="G34" s="21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</row>
    <row r="35" ht="15.75" customHeight="1">
      <c r="A35" s="23">
        <f>if(countif(C35,"&lt;&gt;"),1,"")</f>
        <v>1</v>
      </c>
      <c r="B35" s="31"/>
      <c r="C35" s="32" t="s">
        <v>18</v>
      </c>
      <c r="D35" s="26">
        <v>44242.0</v>
      </c>
      <c r="E35" s="27">
        <v>44244.0</v>
      </c>
      <c r="F35" s="32" t="s">
        <v>19</v>
      </c>
      <c r="G35" s="20" t="s">
        <v>8</v>
      </c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</row>
    <row r="36" ht="15.75" customHeight="1">
      <c r="A36" s="30">
        <f t="shared" ref="A36:A50" si="6">if(countif(C36,"&lt;&gt;"),max($A$35:A35)+1,"")</f>
        <v>2</v>
      </c>
      <c r="B36" s="31"/>
      <c r="C36" s="32" t="s">
        <v>18</v>
      </c>
      <c r="D36" s="26">
        <v>44242.0</v>
      </c>
      <c r="E36" s="27">
        <v>44244.0</v>
      </c>
      <c r="F36" s="32" t="s">
        <v>20</v>
      </c>
      <c r="G36" s="20" t="s">
        <v>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</row>
    <row r="37" ht="15.75" customHeight="1">
      <c r="A37" s="30">
        <f t="shared" si="6"/>
        <v>3</v>
      </c>
      <c r="B37" s="31"/>
      <c r="C37" s="34" t="s">
        <v>12</v>
      </c>
      <c r="D37" s="26">
        <v>44242.0</v>
      </c>
      <c r="E37" s="27">
        <v>44244.0</v>
      </c>
      <c r="F37" s="32" t="s">
        <v>19</v>
      </c>
      <c r="G37" s="20" t="s">
        <v>8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</row>
    <row r="38" ht="15.75" customHeight="1">
      <c r="A38" s="30">
        <f t="shared" si="6"/>
        <v>4</v>
      </c>
      <c r="B38" s="31"/>
      <c r="C38" s="34" t="s">
        <v>12</v>
      </c>
      <c r="D38" s="26">
        <v>44242.0</v>
      </c>
      <c r="E38" s="27">
        <v>44244.0</v>
      </c>
      <c r="F38" s="32" t="s">
        <v>20</v>
      </c>
      <c r="G38" s="20" t="s">
        <v>8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</row>
    <row r="39" ht="15.75" customHeight="1">
      <c r="A39" s="30">
        <f t="shared" si="6"/>
        <v>5</v>
      </c>
      <c r="B39" s="31"/>
      <c r="C39" s="32" t="s">
        <v>21</v>
      </c>
      <c r="D39" s="26">
        <v>44242.0</v>
      </c>
      <c r="E39" s="27">
        <v>44244.0</v>
      </c>
      <c r="F39" s="32" t="s">
        <v>19</v>
      </c>
      <c r="G39" s="20" t="s">
        <v>8</v>
      </c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</row>
    <row r="40" ht="15.75" customHeight="1">
      <c r="A40" s="30">
        <f t="shared" si="6"/>
        <v>6</v>
      </c>
      <c r="B40" s="31"/>
      <c r="C40" s="32" t="s">
        <v>21</v>
      </c>
      <c r="D40" s="26">
        <v>44242.0</v>
      </c>
      <c r="E40" s="27">
        <v>44244.0</v>
      </c>
      <c r="F40" s="32" t="s">
        <v>20</v>
      </c>
      <c r="G40" s="20" t="s">
        <v>8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</row>
    <row r="41" ht="15.75" customHeight="1">
      <c r="A41" s="30" t="str">
        <f t="shared" si="6"/>
        <v/>
      </c>
      <c r="B41" s="31"/>
      <c r="C41" s="32"/>
      <c r="D41" s="26"/>
      <c r="E41" s="27"/>
      <c r="F41" s="31"/>
      <c r="G41" s="21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</row>
    <row r="42" ht="15.75" customHeight="1">
      <c r="A42" s="30" t="str">
        <f t="shared" si="6"/>
        <v/>
      </c>
      <c r="B42" s="31"/>
      <c r="C42" s="31"/>
      <c r="D42" s="33"/>
      <c r="E42" s="33"/>
      <c r="F42" s="31"/>
      <c r="G42" s="21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</row>
    <row r="43" ht="15.75" customHeight="1">
      <c r="A43" s="30" t="str">
        <f t="shared" si="6"/>
        <v/>
      </c>
      <c r="B43" s="31"/>
      <c r="C43" s="31"/>
      <c r="D43" s="33"/>
      <c r="E43" s="33"/>
      <c r="F43" s="31"/>
      <c r="G43" s="21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</row>
    <row r="44" ht="15.75" customHeight="1">
      <c r="A44" s="30" t="str">
        <f t="shared" si="6"/>
        <v/>
      </c>
      <c r="B44" s="31"/>
      <c r="C44" s="31"/>
      <c r="D44" s="33"/>
      <c r="E44" s="33"/>
      <c r="F44" s="31"/>
      <c r="G44" s="21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</row>
    <row r="45" ht="15.75" customHeight="1">
      <c r="A45" s="30" t="str">
        <f t="shared" si="6"/>
        <v/>
      </c>
      <c r="B45" s="31"/>
      <c r="C45" s="31"/>
      <c r="D45" s="33"/>
      <c r="E45" s="33"/>
      <c r="F45" s="31"/>
      <c r="G45" s="21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</row>
    <row r="46" ht="15.75" customHeight="1">
      <c r="A46" s="30" t="str">
        <f t="shared" si="6"/>
        <v/>
      </c>
      <c r="B46" s="31"/>
      <c r="C46" s="31"/>
      <c r="D46" s="33"/>
      <c r="E46" s="33"/>
      <c r="F46" s="31"/>
      <c r="G46" s="21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</row>
    <row r="47" ht="15.75" customHeight="1">
      <c r="A47" s="30" t="str">
        <f t="shared" si="6"/>
        <v/>
      </c>
      <c r="B47" s="31"/>
      <c r="C47" s="31"/>
      <c r="D47" s="33"/>
      <c r="E47" s="33"/>
      <c r="F47" s="31"/>
      <c r="G47" s="21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</row>
    <row r="48" ht="15.75" customHeight="1">
      <c r="A48" s="30" t="str">
        <f t="shared" si="6"/>
        <v/>
      </c>
      <c r="B48" s="31"/>
      <c r="C48" s="31"/>
      <c r="D48" s="33"/>
      <c r="E48" s="33"/>
      <c r="F48" s="31"/>
      <c r="G48" s="21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</row>
    <row r="49" ht="15.75" customHeight="1">
      <c r="A49" s="30" t="str">
        <f t="shared" si="6"/>
        <v/>
      </c>
      <c r="B49" s="31"/>
      <c r="C49" s="31"/>
      <c r="D49" s="33"/>
      <c r="E49" s="33"/>
      <c r="F49" s="31"/>
      <c r="G49" s="21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</row>
    <row r="50" ht="15.75" customHeight="1">
      <c r="A50" s="30" t="str">
        <f t="shared" si="6"/>
        <v/>
      </c>
      <c r="B50" s="31"/>
      <c r="C50" s="31"/>
      <c r="D50" s="33"/>
      <c r="E50" s="33"/>
      <c r="F50" s="31"/>
      <c r="G50" s="21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</row>
    <row r="51" ht="15.75" customHeight="1">
      <c r="B51" s="35"/>
      <c r="C51" s="35"/>
      <c r="D51" s="36"/>
      <c r="E51" s="36"/>
      <c r="F51" s="35"/>
      <c r="G51" s="35"/>
    </row>
    <row r="52" ht="15.75" customHeight="1">
      <c r="B52" s="35"/>
      <c r="C52" s="35"/>
      <c r="D52" s="36"/>
      <c r="E52" s="36"/>
      <c r="F52" s="35"/>
      <c r="G52" s="35"/>
    </row>
    <row r="53" ht="15.75" customHeight="1">
      <c r="B53" s="35"/>
      <c r="C53" s="35"/>
      <c r="D53" s="36"/>
      <c r="E53" s="36"/>
      <c r="F53" s="35"/>
      <c r="G53" s="35"/>
    </row>
    <row r="54" ht="15.75" customHeight="1">
      <c r="B54" s="35"/>
      <c r="C54" s="35"/>
      <c r="D54" s="36"/>
      <c r="E54" s="36"/>
      <c r="F54" s="35"/>
      <c r="G54" s="35"/>
    </row>
    <row r="55" ht="15.75" customHeight="1">
      <c r="B55" s="35"/>
      <c r="C55" s="35"/>
      <c r="D55" s="36"/>
      <c r="E55" s="36"/>
      <c r="F55" s="35"/>
      <c r="G55" s="35"/>
    </row>
    <row r="56" ht="15.75" customHeight="1">
      <c r="B56" s="35"/>
      <c r="C56" s="35"/>
      <c r="D56" s="36"/>
      <c r="E56" s="36"/>
      <c r="F56" s="35"/>
      <c r="G56" s="35"/>
    </row>
    <row r="57" ht="15.75" customHeight="1">
      <c r="B57" s="35"/>
      <c r="C57" s="35"/>
      <c r="D57" s="36"/>
      <c r="E57" s="36"/>
      <c r="F57" s="35"/>
      <c r="G57" s="35"/>
    </row>
    <row r="58" ht="15.75" customHeight="1">
      <c r="B58" s="35"/>
      <c r="C58" s="35"/>
      <c r="D58" s="36"/>
      <c r="E58" s="36"/>
      <c r="F58" s="35"/>
      <c r="G58" s="35"/>
    </row>
    <row r="59" ht="15.75" customHeight="1">
      <c r="B59" s="35"/>
      <c r="C59" s="35"/>
      <c r="D59" s="36"/>
      <c r="E59" s="36"/>
      <c r="F59" s="35"/>
      <c r="G59" s="35"/>
    </row>
    <row r="60" ht="15.75" customHeight="1">
      <c r="B60" s="35"/>
      <c r="C60" s="35"/>
      <c r="D60" s="36"/>
      <c r="E60" s="36"/>
      <c r="F60" s="35"/>
      <c r="G60" s="35"/>
    </row>
    <row r="61" ht="15.75" customHeight="1">
      <c r="B61" s="35"/>
      <c r="C61" s="35"/>
      <c r="D61" s="36"/>
      <c r="E61" s="36"/>
      <c r="F61" s="35"/>
      <c r="G61" s="35"/>
    </row>
    <row r="62" ht="15.75" customHeight="1">
      <c r="B62" s="35"/>
      <c r="C62" s="35"/>
      <c r="D62" s="36"/>
      <c r="E62" s="36"/>
      <c r="F62" s="35"/>
      <c r="G62" s="35"/>
    </row>
    <row r="63" ht="15.75" customHeight="1">
      <c r="B63" s="35"/>
      <c r="C63" s="35"/>
      <c r="D63" s="36"/>
      <c r="E63" s="36"/>
      <c r="F63" s="35"/>
      <c r="G63" s="35"/>
    </row>
    <row r="64" ht="15.75" customHeight="1">
      <c r="B64" s="35"/>
      <c r="C64" s="35"/>
      <c r="D64" s="36"/>
      <c r="E64" s="36"/>
      <c r="F64" s="35"/>
      <c r="G64" s="35"/>
    </row>
    <row r="65" ht="15.75" customHeight="1">
      <c r="B65" s="35"/>
      <c r="C65" s="35"/>
      <c r="D65" s="36"/>
      <c r="E65" s="36"/>
      <c r="F65" s="35"/>
      <c r="G65" s="35"/>
    </row>
    <row r="66" ht="15.75" customHeight="1">
      <c r="B66" s="35"/>
      <c r="C66" s="35"/>
      <c r="D66" s="36"/>
      <c r="E66" s="36"/>
      <c r="F66" s="35"/>
      <c r="G66" s="35"/>
    </row>
    <row r="67" ht="15.75" customHeight="1">
      <c r="B67" s="35"/>
      <c r="C67" s="35"/>
      <c r="D67" s="36"/>
      <c r="E67" s="36"/>
      <c r="F67" s="35"/>
      <c r="G67" s="35"/>
    </row>
    <row r="68" ht="15.75" customHeight="1">
      <c r="B68" s="35"/>
      <c r="C68" s="35"/>
      <c r="D68" s="36"/>
      <c r="E68" s="36"/>
      <c r="F68" s="35"/>
      <c r="G68" s="35"/>
    </row>
    <row r="69" ht="15.75" customHeight="1">
      <c r="B69" s="35"/>
      <c r="C69" s="35"/>
      <c r="D69" s="36"/>
      <c r="E69" s="36"/>
      <c r="F69" s="35"/>
      <c r="G69" s="35"/>
    </row>
    <row r="70" ht="15.75" customHeight="1">
      <c r="B70" s="35"/>
      <c r="C70" s="35"/>
      <c r="D70" s="36"/>
      <c r="E70" s="36"/>
      <c r="F70" s="35"/>
      <c r="G70" s="35"/>
    </row>
    <row r="71" ht="15.75" customHeight="1">
      <c r="B71" s="35"/>
      <c r="C71" s="35"/>
      <c r="D71" s="36"/>
      <c r="E71" s="36"/>
      <c r="F71" s="35"/>
      <c r="G71" s="35"/>
    </row>
    <row r="72" ht="15.75" customHeight="1">
      <c r="B72" s="35"/>
      <c r="C72" s="35"/>
      <c r="D72" s="36"/>
      <c r="E72" s="36"/>
      <c r="F72" s="35"/>
      <c r="G72" s="35"/>
    </row>
    <row r="73" ht="15.75" customHeight="1">
      <c r="B73" s="35"/>
      <c r="C73" s="35"/>
      <c r="D73" s="36"/>
      <c r="E73" s="36"/>
      <c r="F73" s="35"/>
      <c r="G73" s="35"/>
    </row>
    <row r="74" ht="15.75" customHeight="1">
      <c r="B74" s="35"/>
      <c r="C74" s="35"/>
      <c r="D74" s="36"/>
      <c r="E74" s="36"/>
      <c r="F74" s="35"/>
      <c r="G74" s="35"/>
    </row>
    <row r="75" ht="15.75" customHeight="1">
      <c r="B75" s="35"/>
      <c r="C75" s="35"/>
      <c r="D75" s="36"/>
      <c r="E75" s="36"/>
      <c r="F75" s="35"/>
      <c r="G75" s="35"/>
    </row>
    <row r="76" ht="15.75" customHeight="1">
      <c r="B76" s="35"/>
      <c r="C76" s="35"/>
      <c r="D76" s="36"/>
      <c r="E76" s="36"/>
      <c r="F76" s="35"/>
      <c r="G76" s="35"/>
    </row>
    <row r="77" ht="15.75" customHeight="1">
      <c r="B77" s="35"/>
      <c r="C77" s="35"/>
      <c r="D77" s="36"/>
      <c r="E77" s="36"/>
      <c r="F77" s="35"/>
      <c r="G77" s="35"/>
    </row>
    <row r="78" ht="15.75" customHeight="1">
      <c r="B78" s="35"/>
      <c r="C78" s="35"/>
      <c r="D78" s="36"/>
      <c r="E78" s="36"/>
      <c r="F78" s="35"/>
      <c r="G78" s="35"/>
    </row>
    <row r="79" ht="15.75" customHeight="1">
      <c r="B79" s="35"/>
      <c r="C79" s="35"/>
      <c r="D79" s="36"/>
      <c r="E79" s="36"/>
      <c r="F79" s="35"/>
      <c r="G79" s="35"/>
    </row>
    <row r="80" ht="15.75" customHeight="1">
      <c r="B80" s="35"/>
      <c r="C80" s="35"/>
      <c r="D80" s="36"/>
      <c r="E80" s="36"/>
      <c r="F80" s="35"/>
      <c r="G80" s="35"/>
    </row>
    <row r="81" ht="15.75" customHeight="1">
      <c r="B81" s="35"/>
      <c r="C81" s="35"/>
      <c r="D81" s="36"/>
      <c r="E81" s="36"/>
      <c r="F81" s="35"/>
      <c r="G81" s="35"/>
    </row>
    <row r="82" ht="15.75" customHeight="1">
      <c r="B82" s="35"/>
      <c r="C82" s="35"/>
      <c r="D82" s="36"/>
      <c r="E82" s="36"/>
      <c r="F82" s="35"/>
      <c r="G82" s="35"/>
    </row>
    <row r="83" ht="15.75" customHeight="1">
      <c r="B83" s="35"/>
      <c r="C83" s="35"/>
      <c r="D83" s="36"/>
      <c r="E83" s="36"/>
      <c r="F83" s="35"/>
      <c r="G83" s="35"/>
    </row>
    <row r="84" ht="15.75" customHeight="1">
      <c r="B84" s="35"/>
      <c r="C84" s="35"/>
      <c r="D84" s="36"/>
      <c r="E84" s="36"/>
      <c r="F84" s="35"/>
      <c r="G84" s="35"/>
    </row>
    <row r="85" ht="15.75" customHeight="1">
      <c r="B85" s="35"/>
      <c r="C85" s="35"/>
      <c r="D85" s="36"/>
      <c r="E85" s="36"/>
      <c r="F85" s="35"/>
      <c r="G85" s="35"/>
    </row>
    <row r="86" ht="15.75" customHeight="1">
      <c r="B86" s="35"/>
      <c r="C86" s="35"/>
      <c r="D86" s="36"/>
      <c r="E86" s="36"/>
      <c r="F86" s="35"/>
      <c r="G86" s="35"/>
    </row>
    <row r="87" ht="15.75" customHeight="1">
      <c r="B87" s="35"/>
      <c r="C87" s="35"/>
      <c r="D87" s="36"/>
      <c r="E87" s="36"/>
      <c r="F87" s="35"/>
      <c r="G87" s="35"/>
    </row>
    <row r="88" ht="15.75" customHeight="1">
      <c r="B88" s="35"/>
      <c r="C88" s="35"/>
      <c r="D88" s="36"/>
      <c r="E88" s="36"/>
      <c r="F88" s="35"/>
      <c r="G88" s="35"/>
    </row>
    <row r="89" ht="15.75" customHeight="1">
      <c r="B89" s="35"/>
      <c r="C89" s="35"/>
      <c r="D89" s="36"/>
      <c r="E89" s="36"/>
      <c r="F89" s="35"/>
      <c r="G89" s="35"/>
    </row>
    <row r="90" ht="15.75" customHeight="1">
      <c r="B90" s="35"/>
      <c r="C90" s="35"/>
      <c r="D90" s="36"/>
      <c r="E90" s="36"/>
      <c r="F90" s="35"/>
      <c r="G90" s="35"/>
    </row>
    <row r="91" ht="15.75" customHeight="1">
      <c r="B91" s="35"/>
      <c r="C91" s="35"/>
      <c r="D91" s="36"/>
      <c r="E91" s="36"/>
      <c r="F91" s="35"/>
      <c r="G91" s="35"/>
    </row>
    <row r="92" ht="15.75" customHeight="1">
      <c r="B92" s="35"/>
      <c r="C92" s="35"/>
      <c r="D92" s="36"/>
      <c r="E92" s="36"/>
      <c r="F92" s="35"/>
      <c r="G92" s="35"/>
    </row>
    <row r="93" ht="15.75" customHeight="1">
      <c r="B93" s="35"/>
      <c r="C93" s="35"/>
      <c r="D93" s="36"/>
      <c r="E93" s="36"/>
      <c r="F93" s="35"/>
      <c r="G93" s="35"/>
    </row>
    <row r="94" ht="15.75" customHeight="1">
      <c r="B94" s="35"/>
      <c r="C94" s="35"/>
      <c r="D94" s="36"/>
      <c r="E94" s="36"/>
      <c r="F94" s="35"/>
      <c r="G94" s="35"/>
    </row>
    <row r="95" ht="15.75" customHeight="1">
      <c r="B95" s="35"/>
      <c r="C95" s="35"/>
      <c r="D95" s="36"/>
      <c r="E95" s="36"/>
      <c r="F95" s="35"/>
      <c r="G95" s="35"/>
    </row>
    <row r="96" ht="15.75" customHeight="1">
      <c r="B96" s="35"/>
      <c r="C96" s="35"/>
      <c r="D96" s="36"/>
      <c r="E96" s="36"/>
      <c r="F96" s="35"/>
      <c r="G96" s="35"/>
    </row>
    <row r="97" ht="15.75" customHeight="1">
      <c r="B97" s="35"/>
      <c r="C97" s="35"/>
      <c r="D97" s="36"/>
      <c r="E97" s="36"/>
      <c r="F97" s="35"/>
      <c r="G97" s="35"/>
    </row>
    <row r="98" ht="15.75" customHeight="1">
      <c r="B98" s="35"/>
      <c r="C98" s="35"/>
      <c r="D98" s="36"/>
      <c r="E98" s="36"/>
      <c r="F98" s="35"/>
      <c r="G98" s="35"/>
    </row>
    <row r="99" ht="15.75" customHeight="1">
      <c r="B99" s="35"/>
      <c r="C99" s="35"/>
      <c r="D99" s="36"/>
      <c r="E99" s="36"/>
      <c r="F99" s="35"/>
      <c r="G99" s="35"/>
    </row>
    <row r="100" ht="15.75" customHeight="1">
      <c r="B100" s="35"/>
      <c r="C100" s="35"/>
      <c r="D100" s="36"/>
      <c r="E100" s="36"/>
      <c r="F100" s="35"/>
      <c r="G100" s="35"/>
    </row>
    <row r="101" ht="15.75" customHeight="1">
      <c r="B101" s="35"/>
      <c r="C101" s="35"/>
      <c r="D101" s="36"/>
      <c r="E101" s="36"/>
      <c r="F101" s="35"/>
      <c r="G101" s="35"/>
    </row>
    <row r="102" ht="15.75" customHeight="1">
      <c r="B102" s="35"/>
      <c r="C102" s="35"/>
      <c r="D102" s="36"/>
      <c r="E102" s="36"/>
      <c r="F102" s="35"/>
      <c r="G102" s="35"/>
    </row>
    <row r="103" ht="15.75" customHeight="1">
      <c r="B103" s="35"/>
      <c r="C103" s="35"/>
      <c r="D103" s="36"/>
      <c r="E103" s="36"/>
      <c r="F103" s="35"/>
      <c r="G103" s="35"/>
    </row>
    <row r="104" ht="15.75" customHeight="1">
      <c r="B104" s="35"/>
      <c r="C104" s="35"/>
      <c r="D104" s="36"/>
      <c r="E104" s="36"/>
      <c r="F104" s="35"/>
      <c r="G104" s="35"/>
    </row>
    <row r="105" ht="15.75" customHeight="1">
      <c r="B105" s="35"/>
      <c r="C105" s="35"/>
      <c r="D105" s="36"/>
      <c r="E105" s="36"/>
      <c r="F105" s="35"/>
      <c r="G105" s="35"/>
    </row>
    <row r="106" ht="15.75" customHeight="1">
      <c r="B106" s="35"/>
      <c r="C106" s="35"/>
      <c r="D106" s="36"/>
      <c r="E106" s="36"/>
      <c r="F106" s="35"/>
      <c r="G106" s="35"/>
    </row>
    <row r="107" ht="15.75" customHeight="1">
      <c r="B107" s="35"/>
      <c r="C107" s="35"/>
      <c r="D107" s="36"/>
      <c r="E107" s="36"/>
      <c r="F107" s="35"/>
      <c r="G107" s="35"/>
    </row>
    <row r="108" ht="15.75" customHeight="1">
      <c r="B108" s="35"/>
      <c r="C108" s="35"/>
      <c r="D108" s="36"/>
      <c r="E108" s="36"/>
      <c r="F108" s="35"/>
      <c r="G108" s="35"/>
    </row>
    <row r="109" ht="15.75" customHeight="1">
      <c r="B109" s="35"/>
      <c r="C109" s="35"/>
      <c r="D109" s="36"/>
      <c r="E109" s="36"/>
      <c r="F109" s="35"/>
      <c r="G109" s="35"/>
    </row>
    <row r="110" ht="15.75" customHeight="1">
      <c r="B110" s="35"/>
      <c r="C110" s="35"/>
      <c r="D110" s="36"/>
      <c r="E110" s="36"/>
      <c r="F110" s="35"/>
      <c r="G110" s="35"/>
    </row>
    <row r="111" ht="15.75" customHeight="1">
      <c r="B111" s="35"/>
      <c r="C111" s="35"/>
      <c r="D111" s="36"/>
      <c r="E111" s="36"/>
      <c r="F111" s="35"/>
      <c r="G111" s="35"/>
    </row>
    <row r="112" ht="15.75" customHeight="1">
      <c r="B112" s="35"/>
      <c r="C112" s="35"/>
      <c r="D112" s="36"/>
      <c r="E112" s="36"/>
      <c r="F112" s="35"/>
      <c r="G112" s="35"/>
    </row>
    <row r="113" ht="15.75" customHeight="1">
      <c r="B113" s="35"/>
      <c r="C113" s="35"/>
      <c r="D113" s="36"/>
      <c r="E113" s="36"/>
      <c r="F113" s="35"/>
      <c r="G113" s="35"/>
    </row>
    <row r="114" ht="15.75" customHeight="1">
      <c r="B114" s="35"/>
      <c r="C114" s="35"/>
      <c r="D114" s="36"/>
      <c r="E114" s="36"/>
      <c r="F114" s="35"/>
      <c r="G114" s="35"/>
    </row>
    <row r="115" ht="15.75" customHeight="1">
      <c r="B115" s="35"/>
      <c r="C115" s="35"/>
      <c r="D115" s="36"/>
      <c r="E115" s="36"/>
      <c r="F115" s="35"/>
      <c r="G115" s="35"/>
    </row>
    <row r="116" ht="15.75" customHeight="1">
      <c r="B116" s="35"/>
      <c r="C116" s="35"/>
      <c r="D116" s="36"/>
      <c r="E116" s="36"/>
      <c r="F116" s="35"/>
      <c r="G116" s="35"/>
    </row>
    <row r="117" ht="15.75" customHeight="1">
      <c r="B117" s="35"/>
      <c r="C117" s="35"/>
      <c r="D117" s="36"/>
      <c r="E117" s="36"/>
      <c r="F117" s="35"/>
      <c r="G117" s="35"/>
    </row>
    <row r="118" ht="15.75" customHeight="1">
      <c r="B118" s="35"/>
      <c r="C118" s="35"/>
      <c r="D118" s="36"/>
      <c r="E118" s="36"/>
      <c r="F118" s="35"/>
      <c r="G118" s="35"/>
    </row>
    <row r="119" ht="15.75" customHeight="1">
      <c r="B119" s="35"/>
      <c r="C119" s="35"/>
      <c r="D119" s="36"/>
      <c r="E119" s="36"/>
      <c r="F119" s="35"/>
      <c r="G119" s="35"/>
    </row>
    <row r="120" ht="15.75" customHeight="1">
      <c r="B120" s="35"/>
      <c r="C120" s="35"/>
      <c r="D120" s="36"/>
      <c r="E120" s="36"/>
      <c r="F120" s="35"/>
      <c r="G120" s="35"/>
    </row>
    <row r="121" ht="15.75" customHeight="1">
      <c r="B121" s="35"/>
      <c r="C121" s="35"/>
      <c r="D121" s="36"/>
      <c r="E121" s="36"/>
      <c r="F121" s="35"/>
      <c r="G121" s="35"/>
    </row>
    <row r="122" ht="15.75" customHeight="1">
      <c r="B122" s="35"/>
      <c r="C122" s="35"/>
      <c r="D122" s="36"/>
      <c r="E122" s="36"/>
      <c r="F122" s="35"/>
      <c r="G122" s="35"/>
    </row>
    <row r="123" ht="15.75" customHeight="1">
      <c r="B123" s="35"/>
      <c r="C123" s="35"/>
      <c r="D123" s="36"/>
      <c r="E123" s="36"/>
      <c r="F123" s="35"/>
      <c r="G123" s="35"/>
    </row>
    <row r="124" ht="15.75" customHeight="1">
      <c r="B124" s="35"/>
      <c r="C124" s="35"/>
      <c r="D124" s="36"/>
      <c r="E124" s="36"/>
      <c r="F124" s="35"/>
      <c r="G124" s="35"/>
    </row>
    <row r="125" ht="15.75" customHeight="1">
      <c r="B125" s="35"/>
      <c r="C125" s="35"/>
      <c r="D125" s="36"/>
      <c r="E125" s="36"/>
      <c r="F125" s="35"/>
      <c r="G125" s="35"/>
    </row>
    <row r="126" ht="15.75" customHeight="1">
      <c r="B126" s="35"/>
      <c r="C126" s="35"/>
      <c r="D126" s="36"/>
      <c r="E126" s="36"/>
      <c r="F126" s="35"/>
      <c r="G126" s="35"/>
    </row>
    <row r="127" ht="15.75" customHeight="1">
      <c r="B127" s="35"/>
      <c r="C127" s="35"/>
      <c r="D127" s="36"/>
      <c r="E127" s="36"/>
      <c r="F127" s="35"/>
      <c r="G127" s="35"/>
    </row>
    <row r="128" ht="15.75" customHeight="1">
      <c r="B128" s="35"/>
      <c r="C128" s="35"/>
      <c r="D128" s="36"/>
      <c r="E128" s="36"/>
      <c r="F128" s="35"/>
      <c r="G128" s="35"/>
    </row>
    <row r="129" ht="15.75" customHeight="1">
      <c r="B129" s="35"/>
      <c r="C129" s="35"/>
      <c r="D129" s="36"/>
      <c r="E129" s="36"/>
      <c r="F129" s="35"/>
      <c r="G129" s="35"/>
    </row>
    <row r="130" ht="15.75" customHeight="1">
      <c r="B130" s="35"/>
      <c r="C130" s="35"/>
      <c r="D130" s="36"/>
      <c r="E130" s="36"/>
      <c r="F130" s="35"/>
      <c r="G130" s="35"/>
    </row>
    <row r="131" ht="15.75" customHeight="1">
      <c r="B131" s="35"/>
      <c r="C131" s="35"/>
      <c r="D131" s="36"/>
      <c r="E131" s="36"/>
      <c r="F131" s="35"/>
      <c r="G131" s="35"/>
    </row>
    <row r="132" ht="15.75" customHeight="1">
      <c r="B132" s="35"/>
      <c r="C132" s="35"/>
      <c r="D132" s="36"/>
      <c r="E132" s="36"/>
      <c r="F132" s="35"/>
      <c r="G132" s="35"/>
    </row>
    <row r="133" ht="15.75" customHeight="1">
      <c r="B133" s="35"/>
      <c r="C133" s="35"/>
      <c r="D133" s="36"/>
      <c r="E133" s="36"/>
      <c r="F133" s="35"/>
      <c r="G133" s="35"/>
    </row>
    <row r="134" ht="15.75" customHeight="1">
      <c r="B134" s="35"/>
      <c r="C134" s="35"/>
      <c r="D134" s="36"/>
      <c r="E134" s="36"/>
      <c r="F134" s="35"/>
      <c r="G134" s="35"/>
    </row>
    <row r="135" ht="15.75" customHeight="1">
      <c r="B135" s="35"/>
      <c r="C135" s="35"/>
      <c r="D135" s="36"/>
      <c r="E135" s="36"/>
      <c r="F135" s="35"/>
      <c r="G135" s="35"/>
    </row>
    <row r="136" ht="15.75" customHeight="1">
      <c r="B136" s="35"/>
      <c r="C136" s="35"/>
      <c r="D136" s="36"/>
      <c r="E136" s="36"/>
      <c r="F136" s="35"/>
      <c r="G136" s="35"/>
    </row>
    <row r="137" ht="15.75" customHeight="1">
      <c r="B137" s="35"/>
      <c r="C137" s="35"/>
      <c r="D137" s="36"/>
      <c r="E137" s="36"/>
      <c r="F137" s="35"/>
      <c r="G137" s="35"/>
    </row>
    <row r="138" ht="15.75" customHeight="1">
      <c r="B138" s="35"/>
      <c r="C138" s="35"/>
      <c r="D138" s="36"/>
      <c r="E138" s="36"/>
      <c r="F138" s="35"/>
      <c r="G138" s="35"/>
    </row>
    <row r="139" ht="15.75" customHeight="1">
      <c r="B139" s="35"/>
      <c r="C139" s="35"/>
      <c r="D139" s="36"/>
      <c r="E139" s="36"/>
      <c r="F139" s="35"/>
      <c r="G139" s="35"/>
    </row>
    <row r="140" ht="15.75" customHeight="1">
      <c r="B140" s="35"/>
      <c r="C140" s="35"/>
      <c r="D140" s="36"/>
      <c r="E140" s="36"/>
      <c r="F140" s="35"/>
      <c r="G140" s="35"/>
    </row>
    <row r="141" ht="15.75" customHeight="1">
      <c r="B141" s="35"/>
      <c r="C141" s="35"/>
      <c r="D141" s="36"/>
      <c r="E141" s="36"/>
      <c r="F141" s="35"/>
      <c r="G141" s="35"/>
    </row>
    <row r="142" ht="15.75" customHeight="1">
      <c r="B142" s="35"/>
      <c r="C142" s="35"/>
      <c r="D142" s="36"/>
      <c r="E142" s="36"/>
      <c r="F142" s="35"/>
      <c r="G142" s="35"/>
    </row>
    <row r="143" ht="15.75" customHeight="1">
      <c r="B143" s="35"/>
      <c r="C143" s="35"/>
      <c r="D143" s="36"/>
      <c r="E143" s="36"/>
      <c r="F143" s="35"/>
      <c r="G143" s="35"/>
    </row>
    <row r="144" ht="15.75" customHeight="1">
      <c r="B144" s="35"/>
      <c r="C144" s="35"/>
      <c r="D144" s="36"/>
      <c r="E144" s="36"/>
      <c r="F144" s="35"/>
      <c r="G144" s="35"/>
    </row>
    <row r="145" ht="15.75" customHeight="1">
      <c r="B145" s="35"/>
      <c r="C145" s="35"/>
      <c r="D145" s="36"/>
      <c r="E145" s="36"/>
      <c r="F145" s="35"/>
      <c r="G145" s="35"/>
    </row>
    <row r="146" ht="15.75" customHeight="1">
      <c r="B146" s="35"/>
      <c r="C146" s="35"/>
      <c r="D146" s="36"/>
      <c r="E146" s="36"/>
      <c r="F146" s="35"/>
      <c r="G146" s="35"/>
    </row>
    <row r="147" ht="15.75" customHeight="1">
      <c r="B147" s="35"/>
      <c r="C147" s="35"/>
      <c r="D147" s="36"/>
      <c r="E147" s="36"/>
      <c r="F147" s="35"/>
      <c r="G147" s="35"/>
    </row>
    <row r="148" ht="15.75" customHeight="1">
      <c r="B148" s="35"/>
      <c r="C148" s="35"/>
      <c r="D148" s="36"/>
      <c r="E148" s="36"/>
      <c r="F148" s="35"/>
      <c r="G148" s="35"/>
    </row>
    <row r="149" ht="15.75" customHeight="1">
      <c r="B149" s="35"/>
      <c r="C149" s="35"/>
      <c r="D149" s="36"/>
      <c r="E149" s="36"/>
      <c r="F149" s="35"/>
      <c r="G149" s="35"/>
    </row>
    <row r="150" ht="15.75" customHeight="1">
      <c r="B150" s="35"/>
      <c r="C150" s="35"/>
      <c r="D150" s="36"/>
      <c r="E150" s="36"/>
      <c r="F150" s="35"/>
      <c r="G150" s="35"/>
    </row>
    <row r="151" ht="15.75" customHeight="1">
      <c r="B151" s="35"/>
      <c r="C151" s="35"/>
      <c r="D151" s="36"/>
      <c r="E151" s="36"/>
      <c r="F151" s="35"/>
      <c r="G151" s="35"/>
    </row>
    <row r="152" ht="15.75" customHeight="1">
      <c r="B152" s="35"/>
      <c r="C152" s="35"/>
      <c r="D152" s="36"/>
      <c r="E152" s="36"/>
      <c r="F152" s="35"/>
      <c r="G152" s="35"/>
    </row>
    <row r="153" ht="15.75" customHeight="1">
      <c r="B153" s="35"/>
      <c r="C153" s="35"/>
      <c r="D153" s="36"/>
      <c r="E153" s="36"/>
      <c r="F153" s="35"/>
      <c r="G153" s="35"/>
    </row>
    <row r="154" ht="15.75" customHeight="1">
      <c r="B154" s="35"/>
      <c r="C154" s="35"/>
      <c r="D154" s="36"/>
      <c r="E154" s="36"/>
      <c r="F154" s="35"/>
      <c r="G154" s="35"/>
    </row>
    <row r="155" ht="15.75" customHeight="1">
      <c r="B155" s="35"/>
      <c r="C155" s="35"/>
      <c r="D155" s="36"/>
      <c r="E155" s="36"/>
      <c r="F155" s="35"/>
      <c r="G155" s="35"/>
    </row>
    <row r="156" ht="15.75" customHeight="1">
      <c r="B156" s="35"/>
      <c r="C156" s="35"/>
      <c r="D156" s="36"/>
      <c r="E156" s="36"/>
      <c r="F156" s="35"/>
      <c r="G156" s="35"/>
    </row>
    <row r="157" ht="15.75" customHeight="1">
      <c r="B157" s="35"/>
      <c r="C157" s="35"/>
      <c r="D157" s="36"/>
      <c r="E157" s="36"/>
      <c r="F157" s="35"/>
      <c r="G157" s="35"/>
    </row>
    <row r="158" ht="15.75" customHeight="1">
      <c r="B158" s="35"/>
      <c r="C158" s="35"/>
      <c r="D158" s="36"/>
      <c r="E158" s="36"/>
      <c r="F158" s="35"/>
      <c r="G158" s="35"/>
    </row>
    <row r="159" ht="15.75" customHeight="1">
      <c r="B159" s="35"/>
      <c r="C159" s="35"/>
      <c r="D159" s="36"/>
      <c r="E159" s="36"/>
      <c r="F159" s="35"/>
      <c r="G159" s="35"/>
    </row>
    <row r="160" ht="15.75" customHeight="1">
      <c r="B160" s="35"/>
      <c r="C160" s="35"/>
      <c r="D160" s="36"/>
      <c r="E160" s="36"/>
      <c r="F160" s="35"/>
      <c r="G160" s="35"/>
    </row>
    <row r="161" ht="15.75" customHeight="1">
      <c r="B161" s="35"/>
      <c r="C161" s="35"/>
      <c r="D161" s="36"/>
      <c r="E161" s="36"/>
      <c r="F161" s="35"/>
      <c r="G161" s="35"/>
    </row>
    <row r="162" ht="15.75" customHeight="1">
      <c r="B162" s="35"/>
      <c r="C162" s="35"/>
      <c r="D162" s="36"/>
      <c r="E162" s="36"/>
      <c r="F162" s="35"/>
      <c r="G162" s="35"/>
    </row>
    <row r="163" ht="15.75" customHeight="1">
      <c r="B163" s="35"/>
      <c r="C163" s="35"/>
      <c r="D163" s="36"/>
      <c r="E163" s="36"/>
      <c r="F163" s="35"/>
      <c r="G163" s="35"/>
    </row>
    <row r="164" ht="15.75" customHeight="1">
      <c r="B164" s="35"/>
      <c r="C164" s="35"/>
      <c r="D164" s="36"/>
      <c r="E164" s="36"/>
      <c r="F164" s="35"/>
      <c r="G164" s="35"/>
    </row>
    <row r="165" ht="15.75" customHeight="1">
      <c r="B165" s="35"/>
      <c r="C165" s="35"/>
      <c r="D165" s="36"/>
      <c r="E165" s="36"/>
      <c r="F165" s="35"/>
      <c r="G165" s="35"/>
    </row>
    <row r="166" ht="15.75" customHeight="1">
      <c r="B166" s="35"/>
      <c r="C166" s="35"/>
      <c r="D166" s="36"/>
      <c r="E166" s="36"/>
      <c r="F166" s="35"/>
      <c r="G166" s="35"/>
    </row>
    <row r="167" ht="15.75" customHeight="1">
      <c r="B167" s="35"/>
      <c r="C167" s="35"/>
      <c r="D167" s="36"/>
      <c r="E167" s="36"/>
      <c r="F167" s="35"/>
      <c r="G167" s="35"/>
    </row>
    <row r="168" ht="15.75" customHeight="1">
      <c r="B168" s="35"/>
      <c r="C168" s="35"/>
      <c r="D168" s="36"/>
      <c r="E168" s="36"/>
      <c r="F168" s="35"/>
      <c r="G168" s="35"/>
    </row>
    <row r="169" ht="15.75" customHeight="1">
      <c r="B169" s="35"/>
      <c r="C169" s="35"/>
      <c r="D169" s="36"/>
      <c r="E169" s="36"/>
      <c r="F169" s="35"/>
      <c r="G169" s="35"/>
    </row>
    <row r="170" ht="15.75" customHeight="1">
      <c r="B170" s="35"/>
      <c r="C170" s="35"/>
      <c r="D170" s="36"/>
      <c r="E170" s="36"/>
      <c r="F170" s="35"/>
      <c r="G170" s="35"/>
    </row>
    <row r="171" ht="15.75" customHeight="1">
      <c r="B171" s="35"/>
      <c r="C171" s="35"/>
      <c r="D171" s="36"/>
      <c r="E171" s="36"/>
      <c r="F171" s="35"/>
      <c r="G171" s="35"/>
    </row>
    <row r="172" ht="15.75" customHeight="1">
      <c r="B172" s="35"/>
      <c r="C172" s="35"/>
      <c r="D172" s="36"/>
      <c r="E172" s="36"/>
      <c r="F172" s="35"/>
      <c r="G172" s="35"/>
    </row>
    <row r="173" ht="15.75" customHeight="1">
      <c r="B173" s="35"/>
      <c r="C173" s="35"/>
      <c r="D173" s="36"/>
      <c r="E173" s="36"/>
      <c r="F173" s="35"/>
      <c r="G173" s="35"/>
    </row>
    <row r="174" ht="15.75" customHeight="1">
      <c r="B174" s="35"/>
      <c r="C174" s="35"/>
      <c r="D174" s="36"/>
      <c r="E174" s="36"/>
      <c r="F174" s="35"/>
      <c r="G174" s="35"/>
    </row>
    <row r="175" ht="15.75" customHeight="1">
      <c r="B175" s="35"/>
      <c r="C175" s="35"/>
      <c r="D175" s="36"/>
      <c r="E175" s="36"/>
      <c r="F175" s="35"/>
      <c r="G175" s="35"/>
    </row>
    <row r="176" ht="15.75" customHeight="1">
      <c r="B176" s="35"/>
      <c r="C176" s="35"/>
      <c r="D176" s="36"/>
      <c r="E176" s="36"/>
      <c r="F176" s="35"/>
      <c r="G176" s="35"/>
    </row>
    <row r="177" ht="15.75" customHeight="1">
      <c r="B177" s="35"/>
      <c r="C177" s="35"/>
      <c r="D177" s="36"/>
      <c r="E177" s="36"/>
      <c r="F177" s="35"/>
      <c r="G177" s="35"/>
    </row>
    <row r="178" ht="15.75" customHeight="1">
      <c r="B178" s="35"/>
      <c r="C178" s="35"/>
      <c r="D178" s="36"/>
      <c r="E178" s="36"/>
      <c r="F178" s="35"/>
      <c r="G178" s="35"/>
    </row>
    <row r="179" ht="15.75" customHeight="1">
      <c r="B179" s="35"/>
      <c r="C179" s="35"/>
      <c r="D179" s="36"/>
      <c r="E179" s="36"/>
      <c r="F179" s="35"/>
      <c r="G179" s="35"/>
    </row>
    <row r="180" ht="15.75" customHeight="1">
      <c r="B180" s="35"/>
      <c r="C180" s="35"/>
      <c r="D180" s="36"/>
      <c r="E180" s="36"/>
      <c r="F180" s="35"/>
      <c r="G180" s="35"/>
    </row>
    <row r="181" ht="15.75" customHeight="1">
      <c r="B181" s="35"/>
      <c r="C181" s="35"/>
      <c r="D181" s="36"/>
      <c r="E181" s="36"/>
      <c r="F181" s="35"/>
      <c r="G181" s="35"/>
    </row>
    <row r="182" ht="15.75" customHeight="1">
      <c r="B182" s="35"/>
      <c r="C182" s="35"/>
      <c r="D182" s="36"/>
      <c r="E182" s="36"/>
      <c r="F182" s="35"/>
      <c r="G182" s="35"/>
    </row>
    <row r="183" ht="15.75" customHeight="1">
      <c r="B183" s="35"/>
      <c r="C183" s="35"/>
      <c r="D183" s="36"/>
      <c r="E183" s="36"/>
      <c r="F183" s="35"/>
      <c r="G183" s="35"/>
    </row>
    <row r="184" ht="15.75" customHeight="1">
      <c r="B184" s="35"/>
      <c r="C184" s="35"/>
      <c r="D184" s="36"/>
      <c r="E184" s="36"/>
      <c r="F184" s="35"/>
      <c r="G184" s="35"/>
    </row>
    <row r="185" ht="15.75" customHeight="1">
      <c r="B185" s="35"/>
      <c r="C185" s="35"/>
      <c r="D185" s="36"/>
      <c r="E185" s="36"/>
      <c r="F185" s="35"/>
      <c r="G185" s="35"/>
    </row>
    <row r="186" ht="15.75" customHeight="1">
      <c r="B186" s="35"/>
      <c r="C186" s="35"/>
      <c r="D186" s="36"/>
      <c r="E186" s="36"/>
      <c r="F186" s="35"/>
      <c r="G186" s="35"/>
    </row>
    <row r="187" ht="15.75" customHeight="1">
      <c r="B187" s="35"/>
      <c r="C187" s="35"/>
      <c r="D187" s="36"/>
      <c r="E187" s="36"/>
      <c r="F187" s="35"/>
      <c r="G187" s="35"/>
    </row>
    <row r="188" ht="15.75" customHeight="1">
      <c r="B188" s="35"/>
      <c r="C188" s="35"/>
      <c r="D188" s="36"/>
      <c r="E188" s="36"/>
      <c r="F188" s="35"/>
      <c r="G188" s="35"/>
    </row>
    <row r="189" ht="15.75" customHeight="1">
      <c r="B189" s="35"/>
      <c r="C189" s="35"/>
      <c r="D189" s="36"/>
      <c r="E189" s="36"/>
      <c r="F189" s="35"/>
      <c r="G189" s="35"/>
    </row>
    <row r="190" ht="15.75" customHeight="1">
      <c r="B190" s="35"/>
      <c r="C190" s="35"/>
      <c r="D190" s="36"/>
      <c r="E190" s="36"/>
      <c r="F190" s="35"/>
      <c r="G190" s="35"/>
    </row>
    <row r="191" ht="15.75" customHeight="1">
      <c r="B191" s="35"/>
      <c r="C191" s="35"/>
      <c r="D191" s="36"/>
      <c r="E191" s="36"/>
      <c r="F191" s="35"/>
      <c r="G191" s="35"/>
    </row>
    <row r="192" ht="15.75" customHeight="1">
      <c r="B192" s="35"/>
      <c r="C192" s="35"/>
      <c r="D192" s="36"/>
      <c r="E192" s="36"/>
      <c r="F192" s="35"/>
      <c r="G192" s="35"/>
    </row>
    <row r="193" ht="15.75" customHeight="1">
      <c r="B193" s="35"/>
      <c r="C193" s="35"/>
      <c r="D193" s="36"/>
      <c r="E193" s="36"/>
      <c r="F193" s="35"/>
      <c r="G193" s="35"/>
    </row>
    <row r="194" ht="15.75" customHeight="1">
      <c r="B194" s="35"/>
      <c r="C194" s="35"/>
      <c r="D194" s="36"/>
      <c r="E194" s="36"/>
      <c r="F194" s="35"/>
      <c r="G194" s="35"/>
    </row>
    <row r="195" ht="15.75" customHeight="1">
      <c r="B195" s="35"/>
      <c r="C195" s="35"/>
      <c r="D195" s="36"/>
      <c r="E195" s="36"/>
      <c r="F195" s="35"/>
      <c r="G195" s="35"/>
    </row>
    <row r="196" ht="15.75" customHeight="1">
      <c r="B196" s="35"/>
      <c r="C196" s="35"/>
      <c r="D196" s="36"/>
      <c r="E196" s="36"/>
      <c r="F196" s="35"/>
      <c r="G196" s="35"/>
    </row>
    <row r="197" ht="15.75" customHeight="1">
      <c r="B197" s="35"/>
      <c r="C197" s="35"/>
      <c r="D197" s="36"/>
      <c r="E197" s="36"/>
      <c r="F197" s="35"/>
      <c r="G197" s="35"/>
    </row>
    <row r="198" ht="15.75" customHeight="1">
      <c r="B198" s="35"/>
      <c r="C198" s="35"/>
      <c r="D198" s="36"/>
      <c r="E198" s="36"/>
      <c r="F198" s="35"/>
      <c r="G198" s="35"/>
    </row>
    <row r="199" ht="15.75" customHeight="1">
      <c r="B199" s="35"/>
      <c r="C199" s="35"/>
      <c r="D199" s="36"/>
      <c r="E199" s="36"/>
      <c r="F199" s="35"/>
      <c r="G199" s="35"/>
    </row>
    <row r="200" ht="15.75" customHeight="1">
      <c r="B200" s="35"/>
      <c r="C200" s="35"/>
      <c r="D200" s="36"/>
      <c r="E200" s="36"/>
      <c r="F200" s="35"/>
      <c r="G200" s="35"/>
    </row>
    <row r="201" ht="15.75" customHeight="1">
      <c r="B201" s="35"/>
      <c r="C201" s="35"/>
      <c r="D201" s="36"/>
      <c r="E201" s="36"/>
      <c r="F201" s="35"/>
      <c r="G201" s="35"/>
    </row>
    <row r="202" ht="15.75" customHeight="1">
      <c r="B202" s="35"/>
      <c r="C202" s="35"/>
      <c r="D202" s="36"/>
      <c r="E202" s="36"/>
      <c r="F202" s="35"/>
      <c r="G202" s="35"/>
    </row>
    <row r="203" ht="15.75" customHeight="1">
      <c r="B203" s="35"/>
      <c r="C203" s="35"/>
      <c r="D203" s="36"/>
      <c r="E203" s="36"/>
      <c r="F203" s="35"/>
      <c r="G203" s="35"/>
    </row>
    <row r="204" ht="15.75" customHeight="1">
      <c r="B204" s="35"/>
      <c r="C204" s="35"/>
      <c r="D204" s="36"/>
      <c r="E204" s="36"/>
      <c r="F204" s="35"/>
      <c r="G204" s="35"/>
    </row>
    <row r="205" ht="15.75" customHeight="1">
      <c r="B205" s="35"/>
      <c r="C205" s="35"/>
      <c r="D205" s="36"/>
      <c r="E205" s="36"/>
      <c r="F205" s="35"/>
      <c r="G205" s="35"/>
    </row>
    <row r="206" ht="15.75" customHeight="1">
      <c r="B206" s="35"/>
      <c r="C206" s="35"/>
      <c r="D206" s="36"/>
      <c r="E206" s="36"/>
      <c r="F206" s="35"/>
      <c r="G206" s="35"/>
    </row>
    <row r="207" ht="15.75" customHeight="1">
      <c r="B207" s="35"/>
      <c r="C207" s="35"/>
      <c r="D207" s="36"/>
      <c r="E207" s="36"/>
      <c r="F207" s="35"/>
      <c r="G207" s="35"/>
    </row>
    <row r="208" ht="15.75" customHeight="1">
      <c r="B208" s="35"/>
      <c r="C208" s="35"/>
      <c r="D208" s="36"/>
      <c r="E208" s="36"/>
      <c r="F208" s="35"/>
      <c r="G208" s="35"/>
    </row>
    <row r="209" ht="15.75" customHeight="1">
      <c r="B209" s="35"/>
      <c r="C209" s="35"/>
      <c r="D209" s="36"/>
      <c r="E209" s="36"/>
      <c r="F209" s="35"/>
      <c r="G209" s="35"/>
    </row>
    <row r="210" ht="15.75" customHeight="1">
      <c r="B210" s="35"/>
      <c r="C210" s="35"/>
      <c r="D210" s="36"/>
      <c r="E210" s="36"/>
      <c r="F210" s="35"/>
      <c r="G210" s="35"/>
    </row>
    <row r="211" ht="15.75" customHeight="1">
      <c r="B211" s="35"/>
      <c r="C211" s="35"/>
      <c r="D211" s="36"/>
      <c r="E211" s="36"/>
      <c r="F211" s="35"/>
      <c r="G211" s="35"/>
    </row>
    <row r="212" ht="15.75" customHeight="1">
      <c r="B212" s="35"/>
      <c r="C212" s="35"/>
      <c r="D212" s="36"/>
      <c r="E212" s="36"/>
      <c r="F212" s="35"/>
      <c r="G212" s="35"/>
    </row>
    <row r="213" ht="15.75" customHeight="1">
      <c r="B213" s="35"/>
      <c r="C213" s="35"/>
      <c r="D213" s="36"/>
      <c r="E213" s="36"/>
      <c r="F213" s="35"/>
      <c r="G213" s="35"/>
    </row>
    <row r="214" ht="15.75" customHeight="1">
      <c r="B214" s="35"/>
      <c r="C214" s="35"/>
      <c r="D214" s="36"/>
      <c r="E214" s="36"/>
      <c r="F214" s="35"/>
      <c r="G214" s="35"/>
    </row>
    <row r="215" ht="15.75" customHeight="1">
      <c r="B215" s="35"/>
      <c r="C215" s="35"/>
      <c r="D215" s="36"/>
      <c r="E215" s="36"/>
      <c r="F215" s="35"/>
      <c r="G215" s="35"/>
    </row>
    <row r="216" ht="15.75" customHeight="1">
      <c r="B216" s="35"/>
      <c r="C216" s="35"/>
      <c r="D216" s="36"/>
      <c r="E216" s="36"/>
      <c r="F216" s="35"/>
      <c r="G216" s="35"/>
    </row>
    <row r="217" ht="15.75" customHeight="1">
      <c r="B217" s="35"/>
      <c r="C217" s="35"/>
      <c r="D217" s="36"/>
      <c r="E217" s="36"/>
      <c r="F217" s="35"/>
      <c r="G217" s="35"/>
    </row>
    <row r="218" ht="15.75" customHeight="1">
      <c r="B218" s="35"/>
      <c r="C218" s="35"/>
      <c r="D218" s="36"/>
      <c r="E218" s="36"/>
      <c r="F218" s="35"/>
      <c r="G218" s="35"/>
    </row>
    <row r="219" ht="15.75" customHeight="1">
      <c r="B219" s="35"/>
      <c r="C219" s="35"/>
      <c r="D219" s="36"/>
      <c r="E219" s="36"/>
      <c r="F219" s="35"/>
      <c r="G219" s="35"/>
    </row>
    <row r="220" ht="15.75" customHeight="1">
      <c r="B220" s="35"/>
      <c r="C220" s="35"/>
      <c r="D220" s="36"/>
      <c r="E220" s="36"/>
      <c r="F220" s="35"/>
      <c r="G220" s="35"/>
    </row>
    <row r="221" ht="15.75" customHeight="1">
      <c r="B221" s="35"/>
      <c r="C221" s="35"/>
      <c r="D221" s="36"/>
      <c r="E221" s="36"/>
      <c r="F221" s="35"/>
      <c r="G221" s="35"/>
    </row>
    <row r="222" ht="15.75" customHeight="1">
      <c r="B222" s="35"/>
      <c r="C222" s="35"/>
      <c r="D222" s="36"/>
      <c r="E222" s="36"/>
      <c r="F222" s="35"/>
      <c r="G222" s="35"/>
    </row>
    <row r="223" ht="15.75" customHeight="1">
      <c r="B223" s="35"/>
      <c r="C223" s="35"/>
      <c r="D223" s="36"/>
      <c r="E223" s="36"/>
      <c r="F223" s="35"/>
      <c r="G223" s="35"/>
    </row>
    <row r="224" ht="15.75" customHeight="1">
      <c r="B224" s="35"/>
      <c r="C224" s="35"/>
      <c r="D224" s="36"/>
      <c r="E224" s="36"/>
      <c r="F224" s="35"/>
      <c r="G224" s="35"/>
    </row>
    <row r="225" ht="15.75" customHeight="1">
      <c r="B225" s="35"/>
      <c r="C225" s="35"/>
      <c r="D225" s="36"/>
      <c r="E225" s="36"/>
      <c r="F225" s="35"/>
      <c r="G225" s="35"/>
    </row>
    <row r="226" ht="15.75" customHeight="1">
      <c r="B226" s="35"/>
      <c r="C226" s="35"/>
      <c r="D226" s="36"/>
      <c r="E226" s="36"/>
      <c r="F226" s="35"/>
      <c r="G226" s="35"/>
    </row>
    <row r="227" ht="15.75" customHeight="1">
      <c r="B227" s="35"/>
      <c r="C227" s="35"/>
      <c r="D227" s="36"/>
      <c r="E227" s="36"/>
      <c r="F227" s="35"/>
      <c r="G227" s="35"/>
    </row>
    <row r="228" ht="15.75" customHeight="1">
      <c r="B228" s="35"/>
      <c r="C228" s="35"/>
      <c r="D228" s="36"/>
      <c r="E228" s="36"/>
      <c r="F228" s="35"/>
      <c r="G228" s="35"/>
    </row>
    <row r="229" ht="15.75" customHeight="1">
      <c r="B229" s="35"/>
      <c r="C229" s="35"/>
      <c r="D229" s="36"/>
      <c r="E229" s="36"/>
      <c r="F229" s="35"/>
      <c r="G229" s="35"/>
    </row>
    <row r="230" ht="15.75" customHeight="1">
      <c r="B230" s="35"/>
      <c r="C230" s="35"/>
      <c r="D230" s="36"/>
      <c r="E230" s="36"/>
      <c r="F230" s="35"/>
      <c r="G230" s="35"/>
    </row>
    <row r="231" ht="15.75" customHeight="1">
      <c r="B231" s="35"/>
      <c r="C231" s="35"/>
      <c r="D231" s="36"/>
      <c r="E231" s="36"/>
      <c r="F231" s="35"/>
      <c r="G231" s="35"/>
    </row>
    <row r="232" ht="15.75" customHeight="1">
      <c r="B232" s="35"/>
      <c r="C232" s="35"/>
      <c r="D232" s="36"/>
      <c r="E232" s="36"/>
      <c r="F232" s="35"/>
      <c r="G232" s="35"/>
    </row>
    <row r="233" ht="15.75" customHeight="1">
      <c r="B233" s="35"/>
      <c r="C233" s="35"/>
      <c r="D233" s="36"/>
      <c r="E233" s="36"/>
      <c r="F233" s="35"/>
      <c r="G233" s="35"/>
    </row>
    <row r="234" ht="15.75" customHeight="1">
      <c r="B234" s="35"/>
      <c r="C234" s="35"/>
      <c r="D234" s="36"/>
      <c r="E234" s="36"/>
      <c r="F234" s="35"/>
      <c r="G234" s="35"/>
    </row>
    <row r="235" ht="15.75" customHeight="1">
      <c r="B235" s="35"/>
      <c r="C235" s="35"/>
      <c r="D235" s="36"/>
      <c r="E235" s="36"/>
      <c r="F235" s="35"/>
      <c r="G235" s="35"/>
    </row>
    <row r="236" ht="15.75" customHeight="1">
      <c r="B236" s="35"/>
      <c r="C236" s="35"/>
      <c r="D236" s="36"/>
      <c r="E236" s="36"/>
      <c r="F236" s="35"/>
      <c r="G236" s="35"/>
    </row>
    <row r="237" ht="15.75" customHeight="1">
      <c r="B237" s="35"/>
      <c r="C237" s="35"/>
      <c r="D237" s="36"/>
      <c r="E237" s="36"/>
      <c r="F237" s="35"/>
      <c r="G237" s="35"/>
    </row>
    <row r="238" ht="15.75" customHeight="1">
      <c r="B238" s="35"/>
      <c r="C238" s="35"/>
      <c r="D238" s="36"/>
      <c r="E238" s="36"/>
      <c r="F238" s="35"/>
      <c r="G238" s="35"/>
    </row>
    <row r="239" ht="15.75" customHeight="1">
      <c r="B239" s="35"/>
      <c r="C239" s="35"/>
      <c r="D239" s="36"/>
      <c r="E239" s="36"/>
      <c r="F239" s="35"/>
      <c r="G239" s="35"/>
    </row>
    <row r="240" ht="15.75" customHeight="1">
      <c r="B240" s="35"/>
      <c r="C240" s="35"/>
      <c r="D240" s="36"/>
      <c r="E240" s="36"/>
      <c r="F240" s="35"/>
      <c r="G240" s="35"/>
    </row>
    <row r="241" ht="15.75" customHeight="1">
      <c r="B241" s="35"/>
      <c r="C241" s="35"/>
      <c r="D241" s="36"/>
      <c r="E241" s="36"/>
      <c r="F241" s="35"/>
      <c r="G241" s="35"/>
    </row>
    <row r="242" ht="15.75" customHeight="1">
      <c r="B242" s="35"/>
      <c r="C242" s="35"/>
      <c r="D242" s="36"/>
      <c r="E242" s="36"/>
      <c r="F242" s="35"/>
      <c r="G242" s="35"/>
    </row>
    <row r="243" ht="15.75" customHeight="1">
      <c r="B243" s="35"/>
      <c r="C243" s="35"/>
      <c r="D243" s="36"/>
      <c r="E243" s="36"/>
      <c r="F243" s="35"/>
      <c r="G243" s="35"/>
    </row>
    <row r="244" ht="15.75" customHeight="1">
      <c r="B244" s="35"/>
      <c r="C244" s="35"/>
      <c r="D244" s="36"/>
      <c r="E244" s="36"/>
      <c r="F244" s="35"/>
      <c r="G244" s="35"/>
    </row>
    <row r="245" ht="15.75" customHeight="1">
      <c r="B245" s="35"/>
      <c r="C245" s="35"/>
      <c r="D245" s="36"/>
      <c r="E245" s="36"/>
      <c r="F245" s="35"/>
      <c r="G245" s="35"/>
    </row>
    <row r="246" ht="15.75" customHeight="1">
      <c r="B246" s="35"/>
      <c r="C246" s="35"/>
      <c r="D246" s="36"/>
      <c r="E246" s="36"/>
      <c r="F246" s="35"/>
      <c r="G246" s="35"/>
    </row>
    <row r="247" ht="15.75" customHeight="1">
      <c r="B247" s="35"/>
      <c r="C247" s="35"/>
      <c r="D247" s="36"/>
      <c r="E247" s="36"/>
      <c r="F247" s="35"/>
      <c r="G247" s="35"/>
    </row>
    <row r="248" ht="15.75" customHeight="1">
      <c r="B248" s="35"/>
      <c r="C248" s="35"/>
      <c r="D248" s="36"/>
      <c r="E248" s="36"/>
      <c r="F248" s="35"/>
      <c r="G248" s="35"/>
    </row>
    <row r="249" ht="15.75" customHeight="1">
      <c r="B249" s="35"/>
      <c r="C249" s="35"/>
      <c r="D249" s="36"/>
      <c r="E249" s="36"/>
      <c r="F249" s="35"/>
      <c r="G249" s="35"/>
    </row>
    <row r="250" ht="15.75" customHeight="1">
      <c r="B250" s="35"/>
      <c r="C250" s="35"/>
      <c r="D250" s="36"/>
      <c r="E250" s="36"/>
      <c r="F250" s="35"/>
      <c r="G250" s="35"/>
    </row>
    <row r="251" ht="15.75" customHeight="1">
      <c r="F251" s="37"/>
      <c r="G251" s="37"/>
    </row>
    <row r="252" ht="15.75" customHeight="1">
      <c r="F252" s="37"/>
      <c r="G252" s="37"/>
    </row>
    <row r="253" ht="15.75" customHeight="1">
      <c r="F253" s="37"/>
      <c r="G253" s="37"/>
    </row>
    <row r="254" ht="15.75" customHeight="1">
      <c r="F254" s="37"/>
      <c r="G254" s="37"/>
    </row>
    <row r="255" ht="15.75" customHeight="1">
      <c r="F255" s="37"/>
      <c r="G255" s="37"/>
    </row>
    <row r="256" ht="15.75" customHeight="1">
      <c r="F256" s="37"/>
      <c r="G256" s="37"/>
    </row>
    <row r="257" ht="15.75" customHeight="1">
      <c r="F257" s="37"/>
      <c r="G257" s="37"/>
    </row>
    <row r="258" ht="15.75" customHeight="1">
      <c r="F258" s="37"/>
      <c r="G258" s="37"/>
    </row>
    <row r="259" ht="15.75" customHeight="1">
      <c r="F259" s="37"/>
      <c r="G259" s="37"/>
    </row>
    <row r="260" ht="15.75" customHeight="1">
      <c r="F260" s="37"/>
      <c r="G260" s="37"/>
    </row>
    <row r="261" ht="15.75" customHeight="1">
      <c r="F261" s="37"/>
      <c r="G261" s="37"/>
    </row>
    <row r="262" ht="15.75" customHeight="1">
      <c r="F262" s="37"/>
      <c r="G262" s="37"/>
    </row>
    <row r="263" ht="15.75" customHeight="1">
      <c r="F263" s="37"/>
      <c r="G263" s="37"/>
    </row>
    <row r="264" ht="15.75" customHeight="1">
      <c r="F264" s="37"/>
      <c r="G264" s="37"/>
    </row>
    <row r="265" ht="15.75" customHeight="1">
      <c r="F265" s="37"/>
      <c r="G265" s="37"/>
    </row>
    <row r="266" ht="15.75" customHeight="1">
      <c r="F266" s="37"/>
      <c r="G266" s="37"/>
    </row>
    <row r="267" ht="15.75" customHeight="1">
      <c r="F267" s="37"/>
      <c r="G267" s="37"/>
    </row>
    <row r="268" ht="15.75" customHeight="1">
      <c r="F268" s="37"/>
      <c r="G268" s="37"/>
    </row>
    <row r="269" ht="15.75" customHeight="1">
      <c r="F269" s="37"/>
      <c r="G269" s="37"/>
    </row>
    <row r="270" ht="15.75" customHeight="1">
      <c r="F270" s="37"/>
      <c r="G270" s="37"/>
    </row>
    <row r="271" ht="15.75" customHeight="1">
      <c r="F271" s="37"/>
      <c r="G271" s="37"/>
    </row>
    <row r="272" ht="15.75" customHeight="1">
      <c r="F272" s="37"/>
      <c r="G272" s="37"/>
    </row>
    <row r="273" ht="15.75" customHeight="1">
      <c r="F273" s="37"/>
      <c r="G273" s="37"/>
    </row>
    <row r="274" ht="15.75" customHeight="1">
      <c r="F274" s="37"/>
      <c r="G274" s="37"/>
    </row>
    <row r="275" ht="15.75" customHeight="1">
      <c r="F275" s="37"/>
      <c r="G275" s="37"/>
    </row>
    <row r="276" ht="15.75" customHeight="1">
      <c r="F276" s="37"/>
      <c r="G276" s="37"/>
    </row>
    <row r="277" ht="15.75" customHeight="1">
      <c r="F277" s="37"/>
      <c r="G277" s="37"/>
    </row>
    <row r="278" ht="15.75" customHeight="1">
      <c r="F278" s="37"/>
      <c r="G278" s="37"/>
    </row>
    <row r="279" ht="15.75" customHeight="1">
      <c r="F279" s="37"/>
      <c r="G279" s="37"/>
    </row>
    <row r="280" ht="15.75" customHeight="1">
      <c r="F280" s="37"/>
      <c r="G280" s="37"/>
    </row>
    <row r="281" ht="15.75" customHeight="1">
      <c r="F281" s="37"/>
      <c r="G281" s="37"/>
    </row>
    <row r="282" ht="15.75" customHeight="1">
      <c r="F282" s="37"/>
      <c r="G282" s="37"/>
    </row>
    <row r="283" ht="15.75" customHeight="1">
      <c r="F283" s="37"/>
      <c r="G283" s="37"/>
    </row>
    <row r="284" ht="15.75" customHeight="1">
      <c r="F284" s="37"/>
      <c r="G284" s="37"/>
    </row>
    <row r="285" ht="15.75" customHeight="1">
      <c r="F285" s="37"/>
      <c r="G285" s="37"/>
    </row>
    <row r="286" ht="15.75" customHeight="1">
      <c r="F286" s="37"/>
      <c r="G286" s="37"/>
    </row>
    <row r="287" ht="15.75" customHeight="1">
      <c r="F287" s="37"/>
      <c r="G287" s="37"/>
    </row>
    <row r="288" ht="15.75" customHeight="1">
      <c r="F288" s="37"/>
      <c r="G288" s="37"/>
    </row>
    <row r="289" ht="15.75" customHeight="1">
      <c r="F289" s="37"/>
      <c r="G289" s="37"/>
    </row>
    <row r="290" ht="15.75" customHeight="1">
      <c r="F290" s="37"/>
      <c r="G290" s="37"/>
    </row>
    <row r="291" ht="15.75" customHeight="1">
      <c r="F291" s="37"/>
      <c r="G291" s="37"/>
    </row>
    <row r="292" ht="15.75" customHeight="1">
      <c r="F292" s="37"/>
      <c r="G292" s="37"/>
    </row>
    <row r="293" ht="15.75" customHeight="1">
      <c r="F293" s="37"/>
      <c r="G293" s="37"/>
    </row>
    <row r="294" ht="15.75" customHeight="1">
      <c r="F294" s="37"/>
      <c r="G294" s="37"/>
    </row>
    <row r="295" ht="15.75" customHeight="1">
      <c r="F295" s="37"/>
      <c r="G295" s="37"/>
    </row>
    <row r="296" ht="15.75" customHeight="1">
      <c r="F296" s="37"/>
      <c r="G296" s="37"/>
    </row>
    <row r="297" ht="15.75" customHeight="1">
      <c r="F297" s="37"/>
      <c r="G297" s="37"/>
    </row>
    <row r="298" ht="15.75" customHeight="1">
      <c r="F298" s="37"/>
      <c r="G298" s="37"/>
    </row>
    <row r="299" ht="15.75" customHeight="1">
      <c r="F299" s="37"/>
      <c r="G299" s="37"/>
    </row>
    <row r="300" ht="15.75" customHeight="1">
      <c r="F300" s="37"/>
      <c r="G300" s="37"/>
    </row>
    <row r="301" ht="15.75" customHeight="1">
      <c r="F301" s="37"/>
      <c r="G301" s="37"/>
    </row>
    <row r="302" ht="15.75" customHeight="1">
      <c r="F302" s="37"/>
      <c r="G302" s="37"/>
    </row>
    <row r="303" ht="15.75" customHeight="1">
      <c r="F303" s="37"/>
      <c r="G303" s="37"/>
    </row>
    <row r="304" ht="15.75" customHeight="1">
      <c r="F304" s="37"/>
      <c r="G304" s="37"/>
    </row>
    <row r="305" ht="15.75" customHeight="1">
      <c r="F305" s="37"/>
      <c r="G305" s="37"/>
    </row>
    <row r="306" ht="15.75" customHeight="1">
      <c r="F306" s="37"/>
      <c r="G306" s="37"/>
    </row>
    <row r="307" ht="15.75" customHeight="1">
      <c r="F307" s="37"/>
      <c r="G307" s="37"/>
    </row>
    <row r="308" ht="15.75" customHeight="1">
      <c r="F308" s="37"/>
      <c r="G308" s="37"/>
    </row>
    <row r="309" ht="15.75" customHeight="1">
      <c r="F309" s="37"/>
      <c r="G309" s="37"/>
    </row>
    <row r="310" ht="15.75" customHeight="1">
      <c r="F310" s="37"/>
      <c r="G310" s="37"/>
    </row>
    <row r="311" ht="15.75" customHeight="1">
      <c r="F311" s="37"/>
      <c r="G311" s="37"/>
    </row>
    <row r="312" ht="15.75" customHeight="1">
      <c r="F312" s="37"/>
      <c r="G312" s="37"/>
    </row>
    <row r="313" ht="15.75" customHeight="1">
      <c r="F313" s="37"/>
      <c r="G313" s="37"/>
    </row>
    <row r="314" ht="15.75" customHeight="1">
      <c r="F314" s="37"/>
      <c r="G314" s="37"/>
    </row>
    <row r="315" ht="15.75" customHeight="1">
      <c r="F315" s="37"/>
      <c r="G315" s="37"/>
    </row>
    <row r="316" ht="15.75" customHeight="1">
      <c r="F316" s="37"/>
      <c r="G316" s="37"/>
    </row>
    <row r="317" ht="15.75" customHeight="1">
      <c r="F317" s="37"/>
      <c r="G317" s="37"/>
    </row>
    <row r="318" ht="15.75" customHeight="1">
      <c r="F318" s="37"/>
      <c r="G318" s="37"/>
    </row>
    <row r="319" ht="15.75" customHeight="1">
      <c r="F319" s="37"/>
      <c r="G319" s="37"/>
    </row>
    <row r="320" ht="15.75" customHeight="1">
      <c r="F320" s="37"/>
      <c r="G320" s="37"/>
    </row>
    <row r="321" ht="15.75" customHeight="1">
      <c r="F321" s="37"/>
      <c r="G321" s="37"/>
    </row>
    <row r="322" ht="15.75" customHeight="1">
      <c r="F322" s="37"/>
      <c r="G322" s="37"/>
    </row>
    <row r="323" ht="15.75" customHeight="1">
      <c r="F323" s="37"/>
      <c r="G323" s="37"/>
    </row>
    <row r="324" ht="15.75" customHeight="1">
      <c r="F324" s="37"/>
      <c r="G324" s="37"/>
    </row>
    <row r="325" ht="15.75" customHeight="1">
      <c r="F325" s="37"/>
      <c r="G325" s="37"/>
    </row>
    <row r="326" ht="15.75" customHeight="1">
      <c r="F326" s="37"/>
      <c r="G326" s="37"/>
    </row>
    <row r="327" ht="15.75" customHeight="1">
      <c r="F327" s="37"/>
      <c r="G327" s="37"/>
    </row>
    <row r="328" ht="15.75" customHeight="1">
      <c r="F328" s="37"/>
      <c r="G328" s="37"/>
    </row>
    <row r="329" ht="15.75" customHeight="1">
      <c r="F329" s="37"/>
      <c r="G329" s="37"/>
    </row>
    <row r="330" ht="15.75" customHeight="1">
      <c r="F330" s="37"/>
      <c r="G330" s="37"/>
    </row>
    <row r="331" ht="15.75" customHeight="1">
      <c r="F331" s="37"/>
      <c r="G331" s="37"/>
    </row>
    <row r="332" ht="15.75" customHeight="1">
      <c r="F332" s="37"/>
      <c r="G332" s="37"/>
    </row>
    <row r="333" ht="15.75" customHeight="1">
      <c r="F333" s="37"/>
      <c r="G333" s="37"/>
    </row>
    <row r="334" ht="15.75" customHeight="1">
      <c r="F334" s="37"/>
      <c r="G334" s="37"/>
    </row>
    <row r="335" ht="15.75" customHeight="1">
      <c r="F335" s="37"/>
      <c r="G335" s="37"/>
    </row>
    <row r="336" ht="15.75" customHeight="1">
      <c r="F336" s="37"/>
      <c r="G336" s="37"/>
    </row>
    <row r="337" ht="15.75" customHeight="1">
      <c r="F337" s="37"/>
      <c r="G337" s="37"/>
    </row>
    <row r="338" ht="15.75" customHeight="1">
      <c r="F338" s="37"/>
      <c r="G338" s="37"/>
    </row>
    <row r="339" ht="15.75" customHeight="1">
      <c r="F339" s="37"/>
      <c r="G339" s="37"/>
    </row>
    <row r="340" ht="15.75" customHeight="1">
      <c r="F340" s="37"/>
      <c r="G340" s="37"/>
    </row>
    <row r="341" ht="15.75" customHeight="1">
      <c r="F341" s="37"/>
      <c r="G341" s="37"/>
    </row>
    <row r="342" ht="15.75" customHeight="1">
      <c r="F342" s="37"/>
      <c r="G342" s="37"/>
    </row>
    <row r="343" ht="15.75" customHeight="1">
      <c r="F343" s="37"/>
      <c r="G343" s="37"/>
    </row>
    <row r="344" ht="15.75" customHeight="1">
      <c r="F344" s="37"/>
      <c r="G344" s="37"/>
    </row>
    <row r="345" ht="15.75" customHeight="1">
      <c r="F345" s="37"/>
      <c r="G345" s="37"/>
    </row>
    <row r="346" ht="15.75" customHeight="1">
      <c r="F346" s="37"/>
      <c r="G346" s="37"/>
    </row>
    <row r="347" ht="15.75" customHeight="1">
      <c r="F347" s="37"/>
      <c r="G347" s="37"/>
    </row>
    <row r="348" ht="15.75" customHeight="1">
      <c r="F348" s="37"/>
      <c r="G348" s="37"/>
    </row>
    <row r="349" ht="15.75" customHeight="1">
      <c r="F349" s="37"/>
      <c r="G349" s="37"/>
    </row>
    <row r="350" ht="15.75" customHeight="1">
      <c r="F350" s="37"/>
      <c r="G350" s="37"/>
    </row>
    <row r="351" ht="15.75" customHeight="1">
      <c r="F351" s="37"/>
      <c r="G351" s="37"/>
    </row>
    <row r="352" ht="15.75" customHeight="1">
      <c r="F352" s="37"/>
      <c r="G352" s="37"/>
    </row>
    <row r="353" ht="15.75" customHeight="1">
      <c r="F353" s="37"/>
      <c r="G353" s="37"/>
    </row>
    <row r="354" ht="15.75" customHeight="1">
      <c r="F354" s="37"/>
      <c r="G354" s="37"/>
    </row>
    <row r="355" ht="15.75" customHeight="1">
      <c r="F355" s="37"/>
      <c r="G355" s="37"/>
    </row>
    <row r="356" ht="15.75" customHeight="1">
      <c r="F356" s="37"/>
      <c r="G356" s="37"/>
    </row>
    <row r="357" ht="15.75" customHeight="1">
      <c r="F357" s="37"/>
      <c r="G357" s="37"/>
    </row>
    <row r="358" ht="15.75" customHeight="1">
      <c r="F358" s="37"/>
      <c r="G358" s="37"/>
    </row>
    <row r="359" ht="15.75" customHeight="1">
      <c r="F359" s="37"/>
      <c r="G359" s="37"/>
    </row>
    <row r="360" ht="15.75" customHeight="1">
      <c r="F360" s="37"/>
      <c r="G360" s="37"/>
    </row>
    <row r="361" ht="15.75" customHeight="1">
      <c r="F361" s="37"/>
      <c r="G361" s="37"/>
    </row>
    <row r="362" ht="15.75" customHeight="1">
      <c r="F362" s="37"/>
      <c r="G362" s="37"/>
    </row>
    <row r="363" ht="15.75" customHeight="1">
      <c r="F363" s="37"/>
      <c r="G363" s="37"/>
    </row>
    <row r="364" ht="15.75" customHeight="1">
      <c r="F364" s="37"/>
      <c r="G364" s="37"/>
    </row>
    <row r="365" ht="15.75" customHeight="1">
      <c r="F365" s="37"/>
      <c r="G365" s="37"/>
    </row>
    <row r="366" ht="15.75" customHeight="1">
      <c r="F366" s="37"/>
      <c r="G366" s="37"/>
    </row>
    <row r="367" ht="15.75" customHeight="1">
      <c r="F367" s="37"/>
      <c r="G367" s="37"/>
    </row>
    <row r="368" ht="15.75" customHeight="1">
      <c r="F368" s="37"/>
      <c r="G368" s="37"/>
    </row>
    <row r="369" ht="15.75" customHeight="1">
      <c r="F369" s="37"/>
      <c r="G369" s="37"/>
    </row>
    <row r="370" ht="15.75" customHeight="1">
      <c r="F370" s="37"/>
      <c r="G370" s="37"/>
    </row>
    <row r="371" ht="15.75" customHeight="1">
      <c r="F371" s="37"/>
      <c r="G371" s="37"/>
    </row>
    <row r="372" ht="15.75" customHeight="1">
      <c r="F372" s="37"/>
      <c r="G372" s="37"/>
    </row>
    <row r="373" ht="15.75" customHeight="1">
      <c r="F373" s="37"/>
      <c r="G373" s="37"/>
    </row>
    <row r="374" ht="15.75" customHeight="1">
      <c r="F374" s="37"/>
      <c r="G374" s="37"/>
    </row>
    <row r="375" ht="15.75" customHeight="1">
      <c r="F375" s="37"/>
      <c r="G375" s="37"/>
    </row>
    <row r="376" ht="15.75" customHeight="1">
      <c r="F376" s="37"/>
      <c r="G376" s="37"/>
    </row>
    <row r="377" ht="15.75" customHeight="1">
      <c r="F377" s="37"/>
      <c r="G377" s="37"/>
    </row>
    <row r="378" ht="15.75" customHeight="1">
      <c r="F378" s="37"/>
      <c r="G378" s="37"/>
    </row>
    <row r="379" ht="15.75" customHeight="1">
      <c r="F379" s="37"/>
      <c r="G379" s="37"/>
    </row>
    <row r="380" ht="15.75" customHeight="1">
      <c r="F380" s="37"/>
      <c r="G380" s="37"/>
    </row>
    <row r="381" ht="15.75" customHeight="1">
      <c r="F381" s="37"/>
      <c r="G381" s="37"/>
    </row>
    <row r="382" ht="15.75" customHeight="1">
      <c r="F382" s="37"/>
      <c r="G382" s="37"/>
    </row>
    <row r="383" ht="15.75" customHeight="1">
      <c r="F383" s="37"/>
      <c r="G383" s="37"/>
    </row>
    <row r="384" ht="15.75" customHeight="1">
      <c r="F384" s="37"/>
      <c r="G384" s="37"/>
    </row>
    <row r="385" ht="15.75" customHeight="1">
      <c r="F385" s="37"/>
      <c r="G385" s="37"/>
    </row>
    <row r="386" ht="15.75" customHeight="1">
      <c r="F386" s="37"/>
      <c r="G386" s="37"/>
    </row>
    <row r="387" ht="15.75" customHeight="1">
      <c r="F387" s="37"/>
      <c r="G387" s="37"/>
    </row>
    <row r="388" ht="15.75" customHeight="1">
      <c r="F388" s="37"/>
      <c r="G388" s="37"/>
    </row>
    <row r="389" ht="15.75" customHeight="1">
      <c r="F389" s="37"/>
      <c r="G389" s="37"/>
    </row>
    <row r="390" ht="15.75" customHeight="1">
      <c r="F390" s="37"/>
      <c r="G390" s="37"/>
    </row>
    <row r="391" ht="15.75" customHeight="1">
      <c r="F391" s="37"/>
      <c r="G391" s="37"/>
    </row>
    <row r="392" ht="15.75" customHeight="1">
      <c r="F392" s="37"/>
      <c r="G392" s="37"/>
    </row>
    <row r="393" ht="15.75" customHeight="1">
      <c r="F393" s="37"/>
      <c r="G393" s="37"/>
    </row>
    <row r="394" ht="15.75" customHeight="1">
      <c r="F394" s="37"/>
      <c r="G394" s="37"/>
    </row>
    <row r="395" ht="15.75" customHeight="1">
      <c r="F395" s="37"/>
      <c r="G395" s="37"/>
    </row>
    <row r="396" ht="15.75" customHeight="1">
      <c r="F396" s="37"/>
      <c r="G396" s="37"/>
    </row>
    <row r="397" ht="15.75" customHeight="1">
      <c r="F397" s="37"/>
      <c r="G397" s="37"/>
    </row>
    <row r="398" ht="15.75" customHeight="1">
      <c r="F398" s="37"/>
      <c r="G398" s="37"/>
    </row>
    <row r="399" ht="15.75" customHeight="1">
      <c r="F399" s="37"/>
      <c r="G399" s="37"/>
    </row>
    <row r="400" ht="15.75" customHeight="1">
      <c r="F400" s="37"/>
      <c r="G400" s="37"/>
    </row>
    <row r="401" ht="15.75" customHeight="1">
      <c r="F401" s="37"/>
      <c r="G401" s="37"/>
    </row>
    <row r="402" ht="15.75" customHeight="1">
      <c r="F402" s="37"/>
      <c r="G402" s="37"/>
    </row>
    <row r="403" ht="15.75" customHeight="1">
      <c r="F403" s="37"/>
      <c r="G403" s="37"/>
    </row>
    <row r="404" ht="15.75" customHeight="1">
      <c r="F404" s="37"/>
      <c r="G404" s="37"/>
    </row>
    <row r="405" ht="15.75" customHeight="1">
      <c r="F405" s="37"/>
      <c r="G405" s="37"/>
    </row>
    <row r="406" ht="15.75" customHeight="1">
      <c r="F406" s="37"/>
      <c r="G406" s="37"/>
    </row>
    <row r="407" ht="15.75" customHeight="1">
      <c r="F407" s="37"/>
      <c r="G407" s="37"/>
    </row>
    <row r="408" ht="15.75" customHeight="1">
      <c r="F408" s="37"/>
      <c r="G408" s="37"/>
    </row>
    <row r="409" ht="15.75" customHeight="1">
      <c r="F409" s="37"/>
      <c r="G409" s="37"/>
    </row>
    <row r="410" ht="15.75" customHeight="1">
      <c r="F410" s="37"/>
      <c r="G410" s="37"/>
    </row>
    <row r="411" ht="15.75" customHeight="1">
      <c r="F411" s="37"/>
      <c r="G411" s="37"/>
    </row>
    <row r="412" ht="15.75" customHeight="1">
      <c r="F412" s="37"/>
      <c r="G412" s="37"/>
    </row>
    <row r="413" ht="15.75" customHeight="1">
      <c r="F413" s="37"/>
      <c r="G413" s="37"/>
    </row>
    <row r="414" ht="15.75" customHeight="1">
      <c r="F414" s="37"/>
      <c r="G414" s="37"/>
    </row>
    <row r="415" ht="15.75" customHeight="1">
      <c r="F415" s="37"/>
      <c r="G415" s="37"/>
    </row>
    <row r="416" ht="15.75" customHeight="1">
      <c r="F416" s="37"/>
      <c r="G416" s="37"/>
    </row>
    <row r="417" ht="15.75" customHeight="1">
      <c r="F417" s="37"/>
      <c r="G417" s="37"/>
    </row>
    <row r="418" ht="15.75" customHeight="1">
      <c r="F418" s="37"/>
      <c r="G418" s="37"/>
    </row>
    <row r="419" ht="15.75" customHeight="1">
      <c r="F419" s="37"/>
      <c r="G419" s="37"/>
    </row>
    <row r="420" ht="15.75" customHeight="1">
      <c r="F420" s="37"/>
      <c r="G420" s="37"/>
    </row>
    <row r="421" ht="15.75" customHeight="1">
      <c r="F421" s="37"/>
      <c r="G421" s="37"/>
    </row>
    <row r="422" ht="15.75" customHeight="1">
      <c r="F422" s="37"/>
      <c r="G422" s="37"/>
    </row>
    <row r="423" ht="15.75" customHeight="1">
      <c r="F423" s="37"/>
      <c r="G423" s="37"/>
    </row>
    <row r="424" ht="15.75" customHeight="1">
      <c r="F424" s="37"/>
      <c r="G424" s="37"/>
    </row>
    <row r="425" ht="15.75" customHeight="1">
      <c r="F425" s="37"/>
      <c r="G425" s="37"/>
    </row>
    <row r="426" ht="15.75" customHeight="1">
      <c r="F426" s="37"/>
      <c r="G426" s="37"/>
    </row>
    <row r="427" ht="15.75" customHeight="1">
      <c r="F427" s="37"/>
      <c r="G427" s="37"/>
    </row>
    <row r="428" ht="15.75" customHeight="1">
      <c r="F428" s="37"/>
      <c r="G428" s="37"/>
    </row>
    <row r="429" ht="15.75" customHeight="1">
      <c r="F429" s="37"/>
      <c r="G429" s="37"/>
    </row>
    <row r="430" ht="15.75" customHeight="1">
      <c r="F430" s="37"/>
      <c r="G430" s="37"/>
    </row>
    <row r="431" ht="15.75" customHeight="1">
      <c r="F431" s="37"/>
      <c r="G431" s="37"/>
    </row>
    <row r="432" ht="15.75" customHeight="1">
      <c r="F432" s="37"/>
      <c r="G432" s="37"/>
    </row>
    <row r="433" ht="15.75" customHeight="1">
      <c r="F433" s="37"/>
      <c r="G433" s="37"/>
    </row>
    <row r="434" ht="15.75" customHeight="1">
      <c r="F434" s="37"/>
      <c r="G434" s="37"/>
    </row>
    <row r="435" ht="15.75" customHeight="1">
      <c r="F435" s="37"/>
      <c r="G435" s="37"/>
    </row>
    <row r="436" ht="15.75" customHeight="1">
      <c r="F436" s="37"/>
      <c r="G436" s="37"/>
    </row>
    <row r="437" ht="15.75" customHeight="1">
      <c r="F437" s="37"/>
      <c r="G437" s="37"/>
    </row>
    <row r="438" ht="15.75" customHeight="1">
      <c r="F438" s="37"/>
      <c r="G438" s="37"/>
    </row>
    <row r="439" ht="15.75" customHeight="1">
      <c r="F439" s="37"/>
      <c r="G439" s="37"/>
    </row>
    <row r="440" ht="15.75" customHeight="1">
      <c r="F440" s="37"/>
      <c r="G440" s="37"/>
    </row>
    <row r="441" ht="15.75" customHeight="1">
      <c r="F441" s="37"/>
      <c r="G441" s="37"/>
    </row>
    <row r="442" ht="15.75" customHeight="1">
      <c r="F442" s="37"/>
      <c r="G442" s="37"/>
    </row>
    <row r="443" ht="15.75" customHeight="1">
      <c r="F443" s="37"/>
      <c r="G443" s="37"/>
    </row>
    <row r="444" ht="15.75" customHeight="1">
      <c r="F444" s="37"/>
      <c r="G444" s="37"/>
    </row>
    <row r="445" ht="15.75" customHeight="1">
      <c r="F445" s="37"/>
      <c r="G445" s="37"/>
    </row>
    <row r="446" ht="15.75" customHeight="1">
      <c r="F446" s="37"/>
      <c r="G446" s="37"/>
    </row>
    <row r="447" ht="15.75" customHeight="1">
      <c r="F447" s="37"/>
      <c r="G447" s="37"/>
    </row>
    <row r="448" ht="15.75" customHeight="1">
      <c r="F448" s="37"/>
      <c r="G448" s="37"/>
    </row>
    <row r="449" ht="15.75" customHeight="1">
      <c r="F449" s="37"/>
      <c r="G449" s="37"/>
    </row>
    <row r="450" ht="15.75" customHeight="1">
      <c r="F450" s="37"/>
      <c r="G450" s="37"/>
    </row>
    <row r="451" ht="15.75" customHeight="1">
      <c r="F451" s="37"/>
      <c r="G451" s="37"/>
    </row>
    <row r="452" ht="15.75" customHeight="1">
      <c r="F452" s="37"/>
      <c r="G452" s="37"/>
    </row>
    <row r="453" ht="15.75" customHeight="1">
      <c r="F453" s="37"/>
      <c r="G453" s="37"/>
    </row>
    <row r="454" ht="15.75" customHeight="1">
      <c r="F454" s="37"/>
      <c r="G454" s="37"/>
    </row>
    <row r="455" ht="15.75" customHeight="1">
      <c r="F455" s="37"/>
      <c r="G455" s="37"/>
    </row>
    <row r="456" ht="15.75" customHeight="1">
      <c r="F456" s="37"/>
      <c r="G456" s="37"/>
    </row>
    <row r="457" ht="15.75" customHeight="1">
      <c r="F457" s="37"/>
      <c r="G457" s="37"/>
    </row>
    <row r="458" ht="15.75" customHeight="1">
      <c r="F458" s="37"/>
      <c r="G458" s="37"/>
    </row>
    <row r="459" ht="15.75" customHeight="1">
      <c r="F459" s="37"/>
      <c r="G459" s="37"/>
    </row>
    <row r="460" ht="15.75" customHeight="1">
      <c r="F460" s="37"/>
      <c r="G460" s="37"/>
    </row>
    <row r="461" ht="15.75" customHeight="1">
      <c r="F461" s="37"/>
      <c r="G461" s="37"/>
    </row>
    <row r="462" ht="15.75" customHeight="1">
      <c r="F462" s="37"/>
      <c r="G462" s="37"/>
    </row>
    <row r="463" ht="15.75" customHeight="1">
      <c r="F463" s="37"/>
      <c r="G463" s="37"/>
    </row>
    <row r="464" ht="15.75" customHeight="1">
      <c r="F464" s="37"/>
      <c r="G464" s="37"/>
    </row>
    <row r="465" ht="15.75" customHeight="1">
      <c r="F465" s="37"/>
      <c r="G465" s="37"/>
    </row>
    <row r="466" ht="15.75" customHeight="1">
      <c r="F466" s="37"/>
      <c r="G466" s="37"/>
    </row>
    <row r="467" ht="15.75" customHeight="1">
      <c r="F467" s="37"/>
      <c r="G467" s="37"/>
    </row>
    <row r="468" ht="15.75" customHeight="1">
      <c r="F468" s="37"/>
      <c r="G468" s="37"/>
    </row>
    <row r="469" ht="15.75" customHeight="1">
      <c r="F469" s="37"/>
      <c r="G469" s="37"/>
    </row>
    <row r="470" ht="15.75" customHeight="1">
      <c r="F470" s="37"/>
      <c r="G470" s="37"/>
    </row>
    <row r="471" ht="15.75" customHeight="1">
      <c r="F471" s="37"/>
      <c r="G471" s="37"/>
    </row>
    <row r="472" ht="15.75" customHeight="1">
      <c r="F472" s="37"/>
      <c r="G472" s="37"/>
    </row>
    <row r="473" ht="15.75" customHeight="1">
      <c r="F473" s="37"/>
      <c r="G473" s="37"/>
    </row>
    <row r="474" ht="15.75" customHeight="1">
      <c r="F474" s="37"/>
      <c r="G474" s="37"/>
    </row>
    <row r="475" ht="15.75" customHeight="1">
      <c r="F475" s="37"/>
      <c r="G475" s="37"/>
    </row>
    <row r="476" ht="15.75" customHeight="1">
      <c r="F476" s="37"/>
      <c r="G476" s="37"/>
    </row>
    <row r="477" ht="15.75" customHeight="1">
      <c r="F477" s="37"/>
      <c r="G477" s="37"/>
    </row>
    <row r="478" ht="15.75" customHeight="1">
      <c r="F478" s="37"/>
      <c r="G478" s="37"/>
    </row>
    <row r="479" ht="15.75" customHeight="1">
      <c r="F479" s="37"/>
      <c r="G479" s="37"/>
    </row>
    <row r="480" ht="15.75" customHeight="1">
      <c r="F480" s="37"/>
      <c r="G480" s="37"/>
    </row>
    <row r="481" ht="15.75" customHeight="1">
      <c r="F481" s="37"/>
      <c r="G481" s="37"/>
    </row>
    <row r="482" ht="15.75" customHeight="1">
      <c r="F482" s="37"/>
      <c r="G482" s="37"/>
    </row>
    <row r="483" ht="15.75" customHeight="1">
      <c r="F483" s="37"/>
      <c r="G483" s="37"/>
    </row>
    <row r="484" ht="15.75" customHeight="1">
      <c r="F484" s="37"/>
      <c r="G484" s="37"/>
    </row>
    <row r="485" ht="15.75" customHeight="1">
      <c r="F485" s="37"/>
      <c r="G485" s="37"/>
    </row>
    <row r="486" ht="15.75" customHeight="1">
      <c r="F486" s="37"/>
      <c r="G486" s="37"/>
    </row>
    <row r="487" ht="15.75" customHeight="1">
      <c r="F487" s="37"/>
      <c r="G487" s="37"/>
    </row>
    <row r="488" ht="15.75" customHeight="1">
      <c r="F488" s="37"/>
      <c r="G488" s="37"/>
    </row>
    <row r="489" ht="15.75" customHeight="1">
      <c r="F489" s="37"/>
      <c r="G489" s="37"/>
    </row>
    <row r="490" ht="15.75" customHeight="1">
      <c r="F490" s="37"/>
      <c r="G490" s="37"/>
    </row>
    <row r="491" ht="15.75" customHeight="1">
      <c r="F491" s="37"/>
      <c r="G491" s="37"/>
    </row>
    <row r="492" ht="15.75" customHeight="1">
      <c r="F492" s="37"/>
      <c r="G492" s="37"/>
    </row>
    <row r="493" ht="15.75" customHeight="1">
      <c r="F493" s="37"/>
      <c r="G493" s="37"/>
    </row>
    <row r="494" ht="15.75" customHeight="1">
      <c r="F494" s="37"/>
      <c r="G494" s="37"/>
    </row>
    <row r="495" ht="15.75" customHeight="1">
      <c r="F495" s="37"/>
      <c r="G495" s="37"/>
    </row>
    <row r="496" ht="15.75" customHeight="1">
      <c r="F496" s="37"/>
      <c r="G496" s="37"/>
    </row>
    <row r="497" ht="15.75" customHeight="1">
      <c r="F497" s="37"/>
      <c r="G497" s="37"/>
    </row>
    <row r="498" ht="15.75" customHeight="1">
      <c r="F498" s="37"/>
      <c r="G498" s="37"/>
    </row>
    <row r="499" ht="15.75" customHeight="1">
      <c r="F499" s="37"/>
      <c r="G499" s="37"/>
    </row>
    <row r="500" ht="15.75" customHeight="1">
      <c r="F500" s="37"/>
      <c r="G500" s="37"/>
    </row>
    <row r="501" ht="15.75" customHeight="1">
      <c r="F501" s="37"/>
      <c r="G501" s="37"/>
    </row>
    <row r="502" ht="15.75" customHeight="1">
      <c r="F502" s="37"/>
      <c r="G502" s="37"/>
    </row>
    <row r="503" ht="15.75" customHeight="1">
      <c r="F503" s="37"/>
      <c r="G503" s="37"/>
    </row>
    <row r="504" ht="15.75" customHeight="1">
      <c r="F504" s="37"/>
      <c r="G504" s="37"/>
    </row>
    <row r="505" ht="15.75" customHeight="1">
      <c r="F505" s="37"/>
      <c r="G505" s="37"/>
    </row>
    <row r="506" ht="15.75" customHeight="1">
      <c r="F506" s="37"/>
      <c r="G506" s="37"/>
    </row>
    <row r="507" ht="15.75" customHeight="1">
      <c r="F507" s="37"/>
      <c r="G507" s="37"/>
    </row>
    <row r="508" ht="15.75" customHeight="1">
      <c r="F508" s="37"/>
      <c r="G508" s="37"/>
    </row>
    <row r="509" ht="15.75" customHeight="1">
      <c r="F509" s="37"/>
      <c r="G509" s="37"/>
    </row>
    <row r="510" ht="15.75" customHeight="1">
      <c r="F510" s="37"/>
      <c r="G510" s="37"/>
    </row>
    <row r="511" ht="15.75" customHeight="1">
      <c r="F511" s="37"/>
      <c r="G511" s="37"/>
    </row>
    <row r="512" ht="15.75" customHeight="1">
      <c r="F512" s="37"/>
      <c r="G512" s="37"/>
    </row>
    <row r="513" ht="15.75" customHeight="1">
      <c r="F513" s="37"/>
      <c r="G513" s="37"/>
    </row>
    <row r="514" ht="15.75" customHeight="1">
      <c r="F514" s="37"/>
      <c r="G514" s="37"/>
    </row>
    <row r="515" ht="15.75" customHeight="1">
      <c r="F515" s="37"/>
      <c r="G515" s="37"/>
    </row>
    <row r="516" ht="15.75" customHeight="1">
      <c r="F516" s="37"/>
      <c r="G516" s="37"/>
    </row>
    <row r="517" ht="15.75" customHeight="1">
      <c r="F517" s="37"/>
      <c r="G517" s="37"/>
    </row>
    <row r="518" ht="15.75" customHeight="1">
      <c r="F518" s="37"/>
      <c r="G518" s="37"/>
    </row>
    <row r="519" ht="15.75" customHeight="1">
      <c r="F519" s="37"/>
      <c r="G519" s="37"/>
    </row>
    <row r="520" ht="15.75" customHeight="1">
      <c r="F520" s="37"/>
      <c r="G520" s="37"/>
    </row>
    <row r="521" ht="15.75" customHeight="1">
      <c r="F521" s="37"/>
      <c r="G521" s="37"/>
    </row>
    <row r="522" ht="15.75" customHeight="1">
      <c r="F522" s="37"/>
      <c r="G522" s="37"/>
    </row>
    <row r="523" ht="15.75" customHeight="1">
      <c r="F523" s="37"/>
      <c r="G523" s="37"/>
    </row>
    <row r="524" ht="15.75" customHeight="1">
      <c r="F524" s="37"/>
      <c r="G524" s="37"/>
    </row>
    <row r="525" ht="15.75" customHeight="1">
      <c r="F525" s="37"/>
      <c r="G525" s="37"/>
    </row>
    <row r="526" ht="15.75" customHeight="1">
      <c r="F526" s="37"/>
      <c r="G526" s="37"/>
    </row>
    <row r="527" ht="15.75" customHeight="1">
      <c r="F527" s="37"/>
      <c r="G527" s="37"/>
    </row>
    <row r="528" ht="15.75" customHeight="1">
      <c r="F528" s="37"/>
      <c r="G528" s="37"/>
    </row>
    <row r="529" ht="15.75" customHeight="1">
      <c r="F529" s="37"/>
      <c r="G529" s="37"/>
    </row>
    <row r="530" ht="15.75" customHeight="1">
      <c r="F530" s="37"/>
      <c r="G530" s="37"/>
    </row>
    <row r="531" ht="15.75" customHeight="1">
      <c r="F531" s="37"/>
      <c r="G531" s="37"/>
    </row>
    <row r="532" ht="15.75" customHeight="1">
      <c r="F532" s="37"/>
      <c r="G532" s="37"/>
    </row>
    <row r="533" ht="15.75" customHeight="1">
      <c r="F533" s="37"/>
      <c r="G533" s="37"/>
    </row>
    <row r="534" ht="15.75" customHeight="1">
      <c r="F534" s="37"/>
      <c r="G534" s="37"/>
    </row>
    <row r="535" ht="15.75" customHeight="1">
      <c r="F535" s="37"/>
      <c r="G535" s="37"/>
    </row>
    <row r="536" ht="15.75" customHeight="1">
      <c r="F536" s="37"/>
      <c r="G536" s="37"/>
    </row>
    <row r="537" ht="15.75" customHeight="1">
      <c r="F537" s="37"/>
      <c r="G537" s="37"/>
    </row>
    <row r="538" ht="15.75" customHeight="1">
      <c r="F538" s="37"/>
      <c r="G538" s="37"/>
    </row>
    <row r="539" ht="15.75" customHeight="1">
      <c r="F539" s="37"/>
      <c r="G539" s="37"/>
    </row>
    <row r="540" ht="15.75" customHeight="1">
      <c r="F540" s="37"/>
      <c r="G540" s="37"/>
    </row>
    <row r="541" ht="15.75" customHeight="1">
      <c r="F541" s="37"/>
      <c r="G541" s="37"/>
    </row>
    <row r="542" ht="15.75" customHeight="1">
      <c r="F542" s="37"/>
      <c r="G542" s="37"/>
    </row>
    <row r="543" ht="15.75" customHeight="1">
      <c r="F543" s="37"/>
      <c r="G543" s="37"/>
    </row>
    <row r="544" ht="15.75" customHeight="1">
      <c r="F544" s="37"/>
      <c r="G544" s="37"/>
    </row>
    <row r="545" ht="15.75" customHeight="1">
      <c r="F545" s="37"/>
      <c r="G545" s="37"/>
    </row>
    <row r="546" ht="15.75" customHeight="1">
      <c r="F546" s="37"/>
      <c r="G546" s="37"/>
    </row>
    <row r="547" ht="15.75" customHeight="1">
      <c r="F547" s="37"/>
      <c r="G547" s="37"/>
    </row>
    <row r="548" ht="15.75" customHeight="1">
      <c r="F548" s="37"/>
      <c r="G548" s="37"/>
    </row>
    <row r="549" ht="15.75" customHeight="1">
      <c r="F549" s="37"/>
      <c r="G549" s="37"/>
    </row>
    <row r="550" ht="15.75" customHeight="1">
      <c r="F550" s="37"/>
      <c r="G550" s="37"/>
    </row>
    <row r="551" ht="15.75" customHeight="1">
      <c r="F551" s="37"/>
      <c r="G551" s="37"/>
    </row>
    <row r="552" ht="15.75" customHeight="1">
      <c r="F552" s="37"/>
      <c r="G552" s="37"/>
    </row>
    <row r="553" ht="15.75" customHeight="1">
      <c r="F553" s="37"/>
      <c r="G553" s="37"/>
    </row>
    <row r="554" ht="15.75" customHeight="1">
      <c r="F554" s="37"/>
      <c r="G554" s="37"/>
    </row>
    <row r="555" ht="15.75" customHeight="1">
      <c r="F555" s="37"/>
      <c r="G555" s="37"/>
    </row>
    <row r="556" ht="15.75" customHeight="1">
      <c r="F556" s="37"/>
      <c r="G556" s="37"/>
    </row>
    <row r="557" ht="15.75" customHeight="1">
      <c r="F557" s="37"/>
      <c r="G557" s="37"/>
    </row>
    <row r="558" ht="15.75" customHeight="1">
      <c r="F558" s="37"/>
      <c r="G558" s="37"/>
    </row>
    <row r="559" ht="15.75" customHeight="1">
      <c r="F559" s="37"/>
      <c r="G559" s="37"/>
    </row>
    <row r="560" ht="15.75" customHeight="1">
      <c r="F560" s="37"/>
      <c r="G560" s="37"/>
    </row>
    <row r="561" ht="15.75" customHeight="1">
      <c r="F561" s="37"/>
      <c r="G561" s="37"/>
    </row>
    <row r="562" ht="15.75" customHeight="1">
      <c r="F562" s="37"/>
      <c r="G562" s="37"/>
    </row>
    <row r="563" ht="15.75" customHeight="1">
      <c r="F563" s="37"/>
      <c r="G563" s="37"/>
    </row>
    <row r="564" ht="15.75" customHeight="1">
      <c r="F564" s="37"/>
      <c r="G564" s="37"/>
    </row>
    <row r="565" ht="15.75" customHeight="1">
      <c r="F565" s="37"/>
      <c r="G565" s="37"/>
    </row>
    <row r="566" ht="15.75" customHeight="1">
      <c r="F566" s="37"/>
      <c r="G566" s="37"/>
    </row>
    <row r="567" ht="15.75" customHeight="1">
      <c r="F567" s="37"/>
      <c r="G567" s="37"/>
    </row>
    <row r="568" ht="15.75" customHeight="1">
      <c r="F568" s="37"/>
      <c r="G568" s="37"/>
    </row>
    <row r="569" ht="15.75" customHeight="1">
      <c r="F569" s="37"/>
      <c r="G569" s="37"/>
    </row>
    <row r="570" ht="15.75" customHeight="1">
      <c r="F570" s="37"/>
      <c r="G570" s="37"/>
    </row>
    <row r="571" ht="15.75" customHeight="1">
      <c r="F571" s="37"/>
      <c r="G571" s="37"/>
    </row>
    <row r="572" ht="15.75" customHeight="1">
      <c r="F572" s="37"/>
      <c r="G572" s="37"/>
    </row>
    <row r="573" ht="15.75" customHeight="1">
      <c r="F573" s="37"/>
      <c r="G573" s="37"/>
    </row>
    <row r="574" ht="15.75" customHeight="1">
      <c r="F574" s="37"/>
      <c r="G574" s="37"/>
    </row>
    <row r="575" ht="15.75" customHeight="1">
      <c r="F575" s="37"/>
      <c r="G575" s="37"/>
    </row>
    <row r="576" ht="15.75" customHeight="1">
      <c r="F576" s="37"/>
      <c r="G576" s="37"/>
    </row>
    <row r="577" ht="15.75" customHeight="1">
      <c r="F577" s="37"/>
      <c r="G577" s="37"/>
    </row>
    <row r="578" ht="15.75" customHeight="1">
      <c r="F578" s="37"/>
      <c r="G578" s="37"/>
    </row>
    <row r="579" ht="15.75" customHeight="1">
      <c r="F579" s="37"/>
      <c r="G579" s="37"/>
    </row>
    <row r="580" ht="15.75" customHeight="1">
      <c r="F580" s="37"/>
      <c r="G580" s="37"/>
    </row>
    <row r="581" ht="15.75" customHeight="1">
      <c r="F581" s="37"/>
      <c r="G581" s="37"/>
    </row>
    <row r="582" ht="15.75" customHeight="1">
      <c r="F582" s="37"/>
      <c r="G582" s="37"/>
    </row>
    <row r="583" ht="15.75" customHeight="1">
      <c r="F583" s="37"/>
      <c r="G583" s="37"/>
    </row>
    <row r="584" ht="15.75" customHeight="1">
      <c r="F584" s="37"/>
      <c r="G584" s="37"/>
    </row>
    <row r="585" ht="15.75" customHeight="1">
      <c r="F585" s="37"/>
      <c r="G585" s="37"/>
    </row>
    <row r="586" ht="15.75" customHeight="1">
      <c r="F586" s="37"/>
      <c r="G586" s="37"/>
    </row>
    <row r="587" ht="15.75" customHeight="1">
      <c r="F587" s="37"/>
      <c r="G587" s="37"/>
    </row>
    <row r="588" ht="15.75" customHeight="1">
      <c r="F588" s="37"/>
      <c r="G588" s="37"/>
    </row>
    <row r="589" ht="15.75" customHeight="1">
      <c r="F589" s="37"/>
      <c r="G589" s="37"/>
    </row>
    <row r="590" ht="15.75" customHeight="1">
      <c r="F590" s="37"/>
      <c r="G590" s="37"/>
    </row>
    <row r="591" ht="15.75" customHeight="1">
      <c r="F591" s="37"/>
      <c r="G591" s="37"/>
    </row>
    <row r="592" ht="15.75" customHeight="1">
      <c r="F592" s="37"/>
      <c r="G592" s="37"/>
    </row>
    <row r="593" ht="15.75" customHeight="1">
      <c r="F593" s="37"/>
      <c r="G593" s="37"/>
    </row>
    <row r="594" ht="15.75" customHeight="1">
      <c r="F594" s="37"/>
      <c r="G594" s="37"/>
    </row>
    <row r="595" ht="15.75" customHeight="1">
      <c r="F595" s="37"/>
      <c r="G595" s="37"/>
    </row>
    <row r="596" ht="15.75" customHeight="1">
      <c r="F596" s="37"/>
      <c r="G596" s="37"/>
    </row>
    <row r="597" ht="15.75" customHeight="1">
      <c r="F597" s="37"/>
      <c r="G597" s="37"/>
    </row>
    <row r="598" ht="15.75" customHeight="1">
      <c r="F598" s="37"/>
      <c r="G598" s="37"/>
    </row>
    <row r="599" ht="15.75" customHeight="1">
      <c r="F599" s="37"/>
      <c r="G599" s="37"/>
    </row>
    <row r="600" ht="15.75" customHeight="1">
      <c r="F600" s="37"/>
      <c r="G600" s="37"/>
    </row>
    <row r="601" ht="15.75" customHeight="1">
      <c r="F601" s="37"/>
      <c r="G601" s="37"/>
    </row>
    <row r="602" ht="15.75" customHeight="1">
      <c r="F602" s="37"/>
      <c r="G602" s="37"/>
    </row>
    <row r="603" ht="15.75" customHeight="1">
      <c r="F603" s="37"/>
      <c r="G603" s="37"/>
    </row>
    <row r="604" ht="15.75" customHeight="1">
      <c r="F604" s="37"/>
      <c r="G604" s="37"/>
    </row>
    <row r="605" ht="15.75" customHeight="1">
      <c r="F605" s="37"/>
      <c r="G605" s="37"/>
    </row>
    <row r="606" ht="15.75" customHeight="1">
      <c r="F606" s="37"/>
      <c r="G606" s="37"/>
    </row>
    <row r="607" ht="15.75" customHeight="1">
      <c r="F607" s="37"/>
      <c r="G607" s="37"/>
    </row>
    <row r="608" ht="15.75" customHeight="1">
      <c r="F608" s="37"/>
      <c r="G608" s="37"/>
    </row>
    <row r="609" ht="15.75" customHeight="1">
      <c r="F609" s="37"/>
      <c r="G609" s="37"/>
    </row>
    <row r="610" ht="15.75" customHeight="1">
      <c r="F610" s="37"/>
      <c r="G610" s="37"/>
    </row>
    <row r="611" ht="15.75" customHeight="1">
      <c r="F611" s="37"/>
      <c r="G611" s="37"/>
    </row>
    <row r="612" ht="15.75" customHeight="1">
      <c r="F612" s="37"/>
      <c r="G612" s="37"/>
    </row>
    <row r="613" ht="15.75" customHeight="1">
      <c r="F613" s="37"/>
      <c r="G613" s="37"/>
    </row>
    <row r="614" ht="15.75" customHeight="1">
      <c r="F614" s="37"/>
      <c r="G614" s="37"/>
    </row>
    <row r="615" ht="15.75" customHeight="1">
      <c r="F615" s="37"/>
      <c r="G615" s="37"/>
    </row>
    <row r="616" ht="15.75" customHeight="1">
      <c r="F616" s="37"/>
      <c r="G616" s="37"/>
    </row>
    <row r="617" ht="15.75" customHeight="1">
      <c r="F617" s="37"/>
      <c r="G617" s="37"/>
    </row>
    <row r="618" ht="15.75" customHeight="1">
      <c r="F618" s="37"/>
      <c r="G618" s="37"/>
    </row>
    <row r="619" ht="15.75" customHeight="1">
      <c r="F619" s="37"/>
      <c r="G619" s="37"/>
    </row>
    <row r="620" ht="15.75" customHeight="1">
      <c r="F620" s="37"/>
      <c r="G620" s="37"/>
    </row>
    <row r="621" ht="15.75" customHeight="1">
      <c r="F621" s="37"/>
      <c r="G621" s="37"/>
    </row>
    <row r="622" ht="15.75" customHeight="1">
      <c r="F622" s="37"/>
      <c r="G622" s="37"/>
    </row>
    <row r="623" ht="15.75" customHeight="1">
      <c r="F623" s="37"/>
      <c r="G623" s="37"/>
    </row>
    <row r="624" ht="15.75" customHeight="1">
      <c r="F624" s="37"/>
      <c r="G624" s="37"/>
    </row>
    <row r="625" ht="15.75" customHeight="1">
      <c r="F625" s="37"/>
      <c r="G625" s="37"/>
    </row>
    <row r="626" ht="15.75" customHeight="1">
      <c r="F626" s="37"/>
      <c r="G626" s="37"/>
    </row>
    <row r="627" ht="15.75" customHeight="1">
      <c r="F627" s="37"/>
      <c r="G627" s="37"/>
    </row>
    <row r="628" ht="15.75" customHeight="1">
      <c r="F628" s="37"/>
      <c r="G628" s="37"/>
    </row>
    <row r="629" ht="15.75" customHeight="1">
      <c r="F629" s="37"/>
      <c r="G629" s="37"/>
    </row>
    <row r="630" ht="15.75" customHeight="1">
      <c r="F630" s="37"/>
      <c r="G630" s="37"/>
    </row>
    <row r="631" ht="15.75" customHeight="1">
      <c r="F631" s="37"/>
      <c r="G631" s="37"/>
    </row>
    <row r="632" ht="15.75" customHeight="1">
      <c r="F632" s="37"/>
      <c r="G632" s="37"/>
    </row>
    <row r="633" ht="15.75" customHeight="1">
      <c r="F633" s="37"/>
      <c r="G633" s="37"/>
    </row>
    <row r="634" ht="15.75" customHeight="1">
      <c r="F634" s="37"/>
      <c r="G634" s="37"/>
    </row>
    <row r="635" ht="15.75" customHeight="1">
      <c r="F635" s="37"/>
      <c r="G635" s="37"/>
    </row>
    <row r="636" ht="15.75" customHeight="1">
      <c r="F636" s="37"/>
      <c r="G636" s="37"/>
    </row>
    <row r="637" ht="15.75" customHeight="1">
      <c r="F637" s="37"/>
      <c r="G637" s="37"/>
    </row>
    <row r="638" ht="15.75" customHeight="1">
      <c r="F638" s="37"/>
      <c r="G638" s="37"/>
    </row>
    <row r="639" ht="15.75" customHeight="1">
      <c r="F639" s="37"/>
      <c r="G639" s="37"/>
    </row>
    <row r="640" ht="15.75" customHeight="1">
      <c r="F640" s="37"/>
      <c r="G640" s="37"/>
    </row>
    <row r="641" ht="15.75" customHeight="1">
      <c r="F641" s="37"/>
      <c r="G641" s="37"/>
    </row>
    <row r="642" ht="15.75" customHeight="1">
      <c r="F642" s="37"/>
      <c r="G642" s="37"/>
    </row>
    <row r="643" ht="15.75" customHeight="1">
      <c r="F643" s="37"/>
      <c r="G643" s="37"/>
    </row>
    <row r="644" ht="15.75" customHeight="1">
      <c r="F644" s="37"/>
      <c r="G644" s="37"/>
    </row>
    <row r="645" ht="15.75" customHeight="1">
      <c r="F645" s="37"/>
      <c r="G645" s="37"/>
    </row>
    <row r="646" ht="15.75" customHeight="1">
      <c r="F646" s="37"/>
      <c r="G646" s="37"/>
    </row>
    <row r="647" ht="15.75" customHeight="1">
      <c r="F647" s="37"/>
      <c r="G647" s="37"/>
    </row>
    <row r="648" ht="15.75" customHeight="1">
      <c r="F648" s="37"/>
      <c r="G648" s="37"/>
    </row>
    <row r="649" ht="15.75" customHeight="1">
      <c r="F649" s="37"/>
      <c r="G649" s="37"/>
    </row>
    <row r="650" ht="15.75" customHeight="1">
      <c r="F650" s="37"/>
      <c r="G650" s="37"/>
    </row>
    <row r="651" ht="15.75" customHeight="1">
      <c r="F651" s="37"/>
      <c r="G651" s="37"/>
    </row>
    <row r="652" ht="15.75" customHeight="1">
      <c r="F652" s="37"/>
      <c r="G652" s="37"/>
    </row>
    <row r="653" ht="15.75" customHeight="1">
      <c r="F653" s="37"/>
      <c r="G653" s="37"/>
    </row>
    <row r="654" ht="15.75" customHeight="1">
      <c r="F654" s="37"/>
      <c r="G654" s="37"/>
    </row>
    <row r="655" ht="15.75" customHeight="1">
      <c r="F655" s="37"/>
      <c r="G655" s="37"/>
    </row>
    <row r="656" ht="15.75" customHeight="1">
      <c r="F656" s="37"/>
      <c r="G656" s="37"/>
    </row>
    <row r="657" ht="15.75" customHeight="1">
      <c r="F657" s="37"/>
      <c r="G657" s="37"/>
    </row>
    <row r="658" ht="15.75" customHeight="1">
      <c r="F658" s="37"/>
      <c r="G658" s="37"/>
    </row>
    <row r="659" ht="15.75" customHeight="1">
      <c r="F659" s="37"/>
      <c r="G659" s="37"/>
    </row>
    <row r="660" ht="15.75" customHeight="1">
      <c r="F660" s="37"/>
      <c r="G660" s="37"/>
    </row>
    <row r="661" ht="15.75" customHeight="1">
      <c r="F661" s="37"/>
      <c r="G661" s="37"/>
    </row>
    <row r="662" ht="15.75" customHeight="1">
      <c r="F662" s="37"/>
      <c r="G662" s="37"/>
    </row>
    <row r="663" ht="15.75" customHeight="1">
      <c r="F663" s="37"/>
      <c r="G663" s="37"/>
    </row>
    <row r="664" ht="15.75" customHeight="1">
      <c r="F664" s="37"/>
      <c r="G664" s="37"/>
    </row>
    <row r="665" ht="15.75" customHeight="1">
      <c r="F665" s="37"/>
      <c r="G665" s="37"/>
    </row>
    <row r="666" ht="15.75" customHeight="1">
      <c r="F666" s="37"/>
      <c r="G666" s="37"/>
    </row>
    <row r="667" ht="15.75" customHeight="1">
      <c r="F667" s="37"/>
      <c r="G667" s="37"/>
    </row>
    <row r="668" ht="15.75" customHeight="1">
      <c r="F668" s="37"/>
      <c r="G668" s="37"/>
    </row>
    <row r="669" ht="15.75" customHeight="1">
      <c r="F669" s="37"/>
      <c r="G669" s="37"/>
    </row>
    <row r="670" ht="15.75" customHeight="1">
      <c r="F670" s="37"/>
      <c r="G670" s="37"/>
    </row>
    <row r="671" ht="15.75" customHeight="1">
      <c r="F671" s="37"/>
      <c r="G671" s="37"/>
    </row>
    <row r="672" ht="15.75" customHeight="1">
      <c r="F672" s="37"/>
      <c r="G672" s="37"/>
    </row>
    <row r="673" ht="15.75" customHeight="1">
      <c r="F673" s="37"/>
      <c r="G673" s="37"/>
    </row>
    <row r="674" ht="15.75" customHeight="1">
      <c r="F674" s="37"/>
      <c r="G674" s="37"/>
    </row>
    <row r="675" ht="15.75" customHeight="1">
      <c r="F675" s="37"/>
      <c r="G675" s="37"/>
    </row>
    <row r="676" ht="15.75" customHeight="1">
      <c r="F676" s="37"/>
      <c r="G676" s="37"/>
    </row>
    <row r="677" ht="15.75" customHeight="1">
      <c r="F677" s="37"/>
      <c r="G677" s="37"/>
    </row>
    <row r="678" ht="15.75" customHeight="1">
      <c r="F678" s="37"/>
      <c r="G678" s="37"/>
    </row>
    <row r="679" ht="15.75" customHeight="1">
      <c r="F679" s="37"/>
      <c r="G679" s="37"/>
    </row>
    <row r="680" ht="15.75" customHeight="1">
      <c r="F680" s="37"/>
      <c r="G680" s="37"/>
    </row>
    <row r="681" ht="15.75" customHeight="1">
      <c r="F681" s="37"/>
      <c r="G681" s="37"/>
    </row>
    <row r="682" ht="15.75" customHeight="1">
      <c r="F682" s="37"/>
      <c r="G682" s="37"/>
    </row>
    <row r="683" ht="15.75" customHeight="1">
      <c r="F683" s="37"/>
      <c r="G683" s="37"/>
    </row>
    <row r="684" ht="15.75" customHeight="1">
      <c r="F684" s="37"/>
      <c r="G684" s="37"/>
    </row>
    <row r="685" ht="15.75" customHeight="1">
      <c r="F685" s="37"/>
      <c r="G685" s="37"/>
    </row>
    <row r="686" ht="15.75" customHeight="1">
      <c r="F686" s="37"/>
      <c r="G686" s="37"/>
    </row>
    <row r="687" ht="15.75" customHeight="1">
      <c r="F687" s="37"/>
      <c r="G687" s="37"/>
    </row>
    <row r="688" ht="15.75" customHeight="1">
      <c r="F688" s="37"/>
      <c r="G688" s="37"/>
    </row>
    <row r="689" ht="15.75" customHeight="1">
      <c r="F689" s="37"/>
      <c r="G689" s="37"/>
    </row>
    <row r="690" ht="15.75" customHeight="1">
      <c r="F690" s="37"/>
      <c r="G690" s="37"/>
    </row>
    <row r="691" ht="15.75" customHeight="1">
      <c r="F691" s="37"/>
      <c r="G691" s="37"/>
    </row>
    <row r="692" ht="15.75" customHeight="1">
      <c r="F692" s="37"/>
      <c r="G692" s="37"/>
    </row>
    <row r="693" ht="15.75" customHeight="1">
      <c r="F693" s="37"/>
      <c r="G693" s="37"/>
    </row>
    <row r="694" ht="15.75" customHeight="1">
      <c r="F694" s="37"/>
      <c r="G694" s="37"/>
    </row>
    <row r="695" ht="15.75" customHeight="1">
      <c r="F695" s="37"/>
      <c r="G695" s="37"/>
    </row>
    <row r="696" ht="15.75" customHeight="1">
      <c r="F696" s="37"/>
      <c r="G696" s="37"/>
    </row>
    <row r="697" ht="15.75" customHeight="1">
      <c r="F697" s="37"/>
      <c r="G697" s="37"/>
    </row>
    <row r="698" ht="15.75" customHeight="1">
      <c r="F698" s="37"/>
      <c r="G698" s="37"/>
    </row>
    <row r="699" ht="15.75" customHeight="1">
      <c r="F699" s="37"/>
      <c r="G699" s="37"/>
    </row>
    <row r="700" ht="15.75" customHeight="1">
      <c r="F700" s="37"/>
      <c r="G700" s="37"/>
    </row>
    <row r="701" ht="15.75" customHeight="1">
      <c r="F701" s="37"/>
      <c r="G701" s="37"/>
    </row>
    <row r="702" ht="15.75" customHeight="1">
      <c r="F702" s="37"/>
      <c r="G702" s="37"/>
    </row>
    <row r="703" ht="15.75" customHeight="1">
      <c r="F703" s="37"/>
      <c r="G703" s="37"/>
    </row>
    <row r="704" ht="15.75" customHeight="1">
      <c r="F704" s="37"/>
      <c r="G704" s="37"/>
    </row>
    <row r="705" ht="15.75" customHeight="1">
      <c r="F705" s="37"/>
      <c r="G705" s="37"/>
    </row>
    <row r="706" ht="15.75" customHeight="1">
      <c r="F706" s="37"/>
      <c r="G706" s="37"/>
    </row>
    <row r="707" ht="15.75" customHeight="1">
      <c r="F707" s="37"/>
      <c r="G707" s="37"/>
    </row>
    <row r="708" ht="15.75" customHeight="1">
      <c r="F708" s="37"/>
      <c r="G708" s="37"/>
    </row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277EE63-C059-4E72-843F-A9F33BA61843}" filter="1" showAutoFilter="1">
      <autoFilter ref="$A$4:$CA$8"/>
    </customSheetView>
  </customSheetViews>
  <mergeCells count="7">
    <mergeCell ref="A2:A3"/>
    <mergeCell ref="D2:D3"/>
    <mergeCell ref="E2:E3"/>
    <mergeCell ref="F2:F3"/>
    <mergeCell ref="G2:G3"/>
    <mergeCell ref="B2:B3"/>
    <mergeCell ref="C2:C3"/>
  </mergeCells>
  <conditionalFormatting sqref="B4:CA50">
    <cfRule type="expression" dxfId="0" priority="1">
      <formula>$G4="完了"</formula>
    </cfRule>
  </conditionalFormatting>
  <conditionalFormatting sqref="H4:CA50">
    <cfRule type="expression" dxfId="1" priority="2">
      <formula>AND(NOT(ISBLANK($B4)),$D4&lt;=H$2,$E4&gt;=H$2)</formula>
    </cfRule>
  </conditionalFormatting>
  <conditionalFormatting sqref="H4:CA50">
    <cfRule type="expression" dxfId="2" priority="3">
      <formula>AND(NOT(ISBLANK($C4)),$D4&lt;=H$2,$E4&gt;=H$2)</formula>
    </cfRule>
  </conditionalFormatting>
  <conditionalFormatting sqref="A4:CA50">
    <cfRule type="expression" dxfId="3" priority="4">
      <formula>$G4="作業中"</formula>
    </cfRule>
  </conditionalFormatting>
  <conditionalFormatting sqref="H3:CA3">
    <cfRule type="expression" dxfId="4" priority="5">
      <formula>(H3="土")</formula>
    </cfRule>
  </conditionalFormatting>
  <conditionalFormatting sqref="H3:CA3">
    <cfRule type="expression" dxfId="5" priority="6">
      <formula>(H3="日")</formula>
    </cfRule>
  </conditionalFormatting>
  <conditionalFormatting sqref="H2:CA2">
    <cfRule type="expression" dxfId="4" priority="7">
      <formula>(H3="土")</formula>
    </cfRule>
  </conditionalFormatting>
  <conditionalFormatting sqref="H2:CA2">
    <cfRule type="expression" dxfId="5" priority="8">
      <formula>(H3="日")</formula>
    </cfRule>
  </conditionalFormatting>
  <conditionalFormatting sqref="A4:CA50">
    <cfRule type="expression" dxfId="6" priority="9">
      <formula>NOT(ISBLANK($B4))</formula>
    </cfRule>
  </conditionalFormatting>
  <conditionalFormatting sqref="B4:CA50">
    <cfRule type="expression" dxfId="7" priority="10">
      <formula>AND(ROW()&lt;&gt;1,MOD(ROW(),2)=0)</formula>
    </cfRule>
  </conditionalFormatting>
  <dataValidations>
    <dataValidation type="list" allowBlank="1" showErrorMessage="1" sqref="G4:G708">
      <formula1>DB!$D$3:$D$30</formula1>
    </dataValidation>
    <dataValidation type="list" allowBlank="1" showErrorMessage="1" sqref="F4:F708">
      <formula1>DB!$C$3:$C$30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14"/>
    <col customWidth="1" min="2" max="7" width="14.43"/>
  </cols>
  <sheetData>
    <row r="1" ht="15.0" customHeight="1">
      <c r="A1" s="38"/>
      <c r="B1" s="38"/>
      <c r="C1" s="38"/>
      <c r="D1" s="38"/>
    </row>
    <row r="2" ht="27.75" customHeight="1">
      <c r="A2" s="38"/>
      <c r="B2" s="39" t="s">
        <v>22</v>
      </c>
      <c r="C2" s="40" t="s">
        <v>5</v>
      </c>
      <c r="D2" s="41" t="s">
        <v>6</v>
      </c>
    </row>
    <row r="3" ht="22.5" customHeight="1">
      <c r="A3" s="42"/>
      <c r="B3" s="43">
        <v>44242.0</v>
      </c>
      <c r="C3" s="44" t="s">
        <v>8</v>
      </c>
      <c r="D3" s="45" t="s">
        <v>8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</row>
    <row r="4" ht="22.5" customHeight="1">
      <c r="A4" s="35"/>
      <c r="B4" s="46"/>
      <c r="C4" s="47" t="s">
        <v>23</v>
      </c>
      <c r="D4" s="48" t="s">
        <v>24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</row>
    <row r="5" ht="22.5" customHeight="1">
      <c r="A5" s="35"/>
      <c r="B5" s="46"/>
      <c r="C5" s="47" t="s">
        <v>25</v>
      </c>
      <c r="D5" s="49" t="s">
        <v>26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</row>
    <row r="6" ht="22.5" customHeight="1">
      <c r="A6" s="35"/>
      <c r="B6" s="46"/>
      <c r="C6" s="47" t="s">
        <v>27</v>
      </c>
      <c r="D6" s="50" t="s">
        <v>28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</row>
    <row r="7" ht="22.5" customHeight="1">
      <c r="A7" s="35"/>
      <c r="B7" s="46"/>
      <c r="C7" s="47" t="s">
        <v>29</v>
      </c>
      <c r="D7" s="45" t="s">
        <v>30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</row>
    <row r="8" ht="22.5" customHeight="1">
      <c r="A8" s="35"/>
      <c r="B8" s="46"/>
      <c r="C8" s="47" t="s">
        <v>31</v>
      </c>
      <c r="D8" s="45" t="s">
        <v>32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ht="22.5" customHeight="1">
      <c r="A9" s="35"/>
      <c r="B9" s="46"/>
      <c r="C9" s="47" t="s">
        <v>19</v>
      </c>
      <c r="D9" s="4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ht="22.5" customHeight="1">
      <c r="A10" s="35"/>
      <c r="B10" s="46"/>
      <c r="C10" s="47" t="s">
        <v>20</v>
      </c>
      <c r="D10" s="4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</row>
    <row r="11" ht="22.5" customHeight="1">
      <c r="A11" s="35"/>
      <c r="B11" s="46"/>
      <c r="C11" s="47" t="s">
        <v>15</v>
      </c>
      <c r="D11" s="4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</row>
    <row r="12" ht="22.5" customHeight="1">
      <c r="A12" s="35"/>
      <c r="B12" s="46"/>
      <c r="C12" s="47" t="s">
        <v>16</v>
      </c>
      <c r="D12" s="4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</row>
    <row r="13" ht="22.5" customHeight="1">
      <c r="A13" s="35"/>
      <c r="B13" s="46"/>
      <c r="C13" s="47" t="s">
        <v>10</v>
      </c>
      <c r="D13" s="4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</row>
    <row r="14" ht="22.5" customHeight="1">
      <c r="A14" s="35"/>
      <c r="B14" s="46"/>
      <c r="C14" s="47" t="s">
        <v>11</v>
      </c>
      <c r="D14" s="4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</row>
    <row r="15" ht="22.5" customHeight="1">
      <c r="A15" s="35"/>
      <c r="B15" s="46"/>
      <c r="C15" s="44"/>
      <c r="D15" s="4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</row>
    <row r="16" ht="22.5" customHeight="1">
      <c r="A16" s="35"/>
      <c r="B16" s="46"/>
      <c r="C16" s="44"/>
      <c r="D16" s="4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</row>
    <row r="17" ht="22.5" customHeight="1">
      <c r="A17" s="35"/>
      <c r="B17" s="46"/>
      <c r="C17" s="44"/>
      <c r="D17" s="4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</row>
    <row r="18" ht="22.5" customHeight="1">
      <c r="A18" s="35"/>
      <c r="B18" s="46"/>
      <c r="C18" s="44"/>
      <c r="D18" s="4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</row>
    <row r="19" ht="22.5" customHeight="1">
      <c r="A19" s="35"/>
      <c r="B19" s="46"/>
      <c r="C19" s="44"/>
      <c r="D19" s="4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</row>
    <row r="20" ht="22.5" customHeight="1">
      <c r="A20" s="35"/>
      <c r="B20" s="46"/>
      <c r="C20" s="44"/>
      <c r="D20" s="4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</row>
    <row r="21" ht="22.5" customHeight="1">
      <c r="A21" s="35"/>
      <c r="B21" s="46"/>
      <c r="C21" s="44"/>
      <c r="D21" s="4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</row>
    <row r="22" ht="22.5" customHeight="1">
      <c r="A22" s="35"/>
      <c r="B22" s="46"/>
      <c r="C22" s="44"/>
      <c r="D22" s="4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</row>
    <row r="23" ht="22.5" customHeight="1">
      <c r="A23" s="35"/>
      <c r="B23" s="46"/>
      <c r="C23" s="44"/>
      <c r="D23" s="4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</row>
    <row r="24" ht="22.5" customHeight="1">
      <c r="A24" s="35"/>
      <c r="B24" s="46"/>
      <c r="C24" s="44"/>
      <c r="D24" s="4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</row>
    <row r="25" ht="22.5" customHeight="1">
      <c r="A25" s="35"/>
      <c r="B25" s="46"/>
      <c r="C25" s="44"/>
      <c r="D25" s="4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</row>
    <row r="26" ht="22.5" customHeight="1">
      <c r="A26" s="35"/>
      <c r="B26" s="46"/>
      <c r="C26" s="44"/>
      <c r="D26" s="4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</row>
    <row r="27" ht="22.5" customHeight="1">
      <c r="A27" s="35"/>
      <c r="B27" s="46"/>
      <c r="C27" s="44"/>
      <c r="D27" s="4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</row>
    <row r="28" ht="22.5" customHeight="1">
      <c r="A28" s="35"/>
      <c r="B28" s="46"/>
      <c r="C28" s="44"/>
      <c r="D28" s="4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</row>
    <row r="29" ht="22.5" customHeight="1">
      <c r="A29" s="35"/>
      <c r="B29" s="46"/>
      <c r="C29" s="44"/>
      <c r="D29" s="4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</row>
    <row r="30" ht="22.5" customHeight="1">
      <c r="A30" s="35"/>
      <c r="B30" s="46"/>
      <c r="C30" s="44"/>
      <c r="D30" s="4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</row>
    <row r="31" ht="22.5" customHeight="1">
      <c r="A31" s="35"/>
      <c r="B31" s="46"/>
      <c r="C31" s="44"/>
      <c r="D31" s="4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</row>
    <row r="32" ht="22.5" customHeight="1">
      <c r="A32" s="35"/>
      <c r="B32" s="46"/>
      <c r="C32" s="44"/>
      <c r="D32" s="4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</row>
    <row r="33" ht="22.5" customHeight="1">
      <c r="A33" s="35"/>
      <c r="B33" s="46"/>
      <c r="C33" s="44"/>
      <c r="D33" s="4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</row>
    <row r="34" ht="22.5" customHeight="1">
      <c r="A34" s="35"/>
      <c r="B34" s="46"/>
      <c r="C34" s="44"/>
      <c r="D34" s="4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</row>
    <row r="35" ht="22.5" customHeight="1">
      <c r="A35" s="35"/>
      <c r="B35" s="46"/>
      <c r="C35" s="44"/>
      <c r="D35" s="4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ht="22.5" customHeight="1">
      <c r="A36" s="35"/>
      <c r="B36" s="46"/>
      <c r="C36" s="44"/>
      <c r="D36" s="4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</row>
    <row r="37" ht="22.5" customHeight="1">
      <c r="A37" s="35"/>
      <c r="B37" s="46"/>
      <c r="C37" s="44"/>
      <c r="D37" s="4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</row>
    <row r="38" ht="22.5" customHeight="1">
      <c r="A38" s="35"/>
      <c r="B38" s="46"/>
      <c r="C38" s="44"/>
      <c r="D38" s="4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</row>
    <row r="39" ht="22.5" customHeight="1">
      <c r="A39" s="35"/>
      <c r="B39" s="46"/>
      <c r="C39" s="44"/>
      <c r="D39" s="4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</row>
    <row r="40" ht="22.5" customHeight="1">
      <c r="A40" s="35"/>
      <c r="B40" s="46"/>
      <c r="C40" s="44"/>
      <c r="D40" s="4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ht="22.5" customHeight="1">
      <c r="A41" s="35"/>
      <c r="B41" s="46"/>
      <c r="C41" s="44"/>
      <c r="D41" s="4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ht="22.5" customHeight="1">
      <c r="A42" s="35"/>
      <c r="B42" s="46"/>
      <c r="C42" s="44"/>
      <c r="D42" s="4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ht="22.5" customHeight="1">
      <c r="A43" s="35"/>
      <c r="B43" s="46"/>
      <c r="C43" s="44"/>
      <c r="D43" s="4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ht="22.5" customHeight="1">
      <c r="A44" s="35"/>
      <c r="B44" s="46"/>
      <c r="C44" s="44"/>
      <c r="D44" s="4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ht="22.5" customHeight="1">
      <c r="A45" s="35"/>
      <c r="B45" s="46"/>
      <c r="C45" s="44"/>
      <c r="D45" s="4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ht="22.5" customHeight="1">
      <c r="A46" s="35"/>
      <c r="B46" s="46"/>
      <c r="C46" s="44"/>
      <c r="D46" s="4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ht="22.5" customHeight="1">
      <c r="A47" s="35"/>
      <c r="B47" s="46"/>
      <c r="C47" s="44"/>
      <c r="D47" s="4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ht="22.5" customHeight="1">
      <c r="A48" s="35"/>
      <c r="B48" s="46"/>
      <c r="C48" s="44"/>
      <c r="D48" s="4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ht="22.5" customHeight="1">
      <c r="A49" s="35"/>
      <c r="B49" s="46"/>
      <c r="C49" s="44"/>
      <c r="D49" s="4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ht="22.5" customHeight="1">
      <c r="A50" s="35"/>
      <c r="B50" s="46"/>
      <c r="C50" s="44"/>
      <c r="D50" s="4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ht="22.5" customHeight="1">
      <c r="A51" s="35"/>
      <c r="B51" s="46"/>
      <c r="C51" s="44"/>
      <c r="D51" s="4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ht="22.5" customHeight="1">
      <c r="A52" s="35"/>
      <c r="B52" s="46"/>
      <c r="C52" s="44"/>
      <c r="D52" s="4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ht="22.5" customHeight="1">
      <c r="A53" s="35"/>
      <c r="B53" s="46"/>
      <c r="C53" s="44"/>
      <c r="D53" s="4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ht="22.5" customHeight="1">
      <c r="A54" s="35"/>
      <c r="B54" s="46"/>
      <c r="C54" s="44"/>
      <c r="D54" s="4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ht="22.5" customHeight="1">
      <c r="A55" s="35"/>
      <c r="B55" s="46"/>
      <c r="C55" s="44"/>
      <c r="D55" s="4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ht="22.5" customHeight="1">
      <c r="A56" s="35"/>
      <c r="B56" s="46"/>
      <c r="C56" s="44"/>
      <c r="D56" s="4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ht="22.5" customHeight="1">
      <c r="A57" s="35"/>
      <c r="B57" s="46"/>
      <c r="C57" s="44"/>
      <c r="D57" s="4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</row>
    <row r="58" ht="22.5" customHeight="1">
      <c r="A58" s="35"/>
      <c r="B58" s="46"/>
      <c r="C58" s="44"/>
      <c r="D58" s="4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</row>
    <row r="59" ht="22.5" customHeight="1">
      <c r="A59" s="35"/>
      <c r="B59" s="46"/>
      <c r="C59" s="44"/>
      <c r="D59" s="4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</row>
    <row r="60" ht="22.5" customHeight="1">
      <c r="A60" s="35"/>
      <c r="B60" s="46"/>
      <c r="C60" s="44"/>
      <c r="D60" s="4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</row>
    <row r="61" ht="22.5" customHeight="1">
      <c r="A61" s="35"/>
      <c r="B61" s="46"/>
      <c r="C61" s="44"/>
      <c r="D61" s="4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</row>
    <row r="62" ht="22.5" customHeight="1">
      <c r="A62" s="35"/>
      <c r="B62" s="46"/>
      <c r="C62" s="44"/>
      <c r="D62" s="4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</row>
    <row r="63" ht="22.5" customHeight="1">
      <c r="A63" s="35"/>
      <c r="B63" s="46"/>
      <c r="C63" s="44"/>
      <c r="D63" s="4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</row>
    <row r="64" ht="22.5" customHeight="1">
      <c r="A64" s="35"/>
      <c r="B64" s="46"/>
      <c r="C64" s="44"/>
      <c r="D64" s="4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</row>
    <row r="65" ht="22.5" customHeight="1">
      <c r="A65" s="35"/>
      <c r="B65" s="46"/>
      <c r="C65" s="44"/>
      <c r="D65" s="4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</row>
    <row r="66" ht="22.5" customHeight="1">
      <c r="A66" s="35"/>
      <c r="B66" s="46"/>
      <c r="C66" s="44"/>
      <c r="D66" s="4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</row>
    <row r="67" ht="22.5" customHeight="1">
      <c r="A67" s="35"/>
      <c r="B67" s="46"/>
      <c r="C67" s="44"/>
      <c r="D67" s="4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</row>
    <row r="68" ht="22.5" customHeight="1">
      <c r="A68" s="35"/>
      <c r="B68" s="46"/>
      <c r="C68" s="44"/>
      <c r="D68" s="4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</row>
    <row r="69" ht="22.5" customHeight="1">
      <c r="A69" s="35"/>
      <c r="B69" s="46"/>
      <c r="C69" s="44"/>
      <c r="D69" s="4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</row>
    <row r="70" ht="22.5" customHeight="1">
      <c r="A70" s="35"/>
      <c r="B70" s="46"/>
      <c r="C70" s="44"/>
      <c r="D70" s="4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</row>
    <row r="71" ht="22.5" customHeight="1">
      <c r="A71" s="35"/>
      <c r="B71" s="46"/>
      <c r="C71" s="44"/>
      <c r="D71" s="4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</row>
    <row r="72" ht="22.5" customHeight="1">
      <c r="A72" s="35"/>
      <c r="B72" s="46"/>
      <c r="C72" s="44"/>
      <c r="D72" s="4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</row>
    <row r="73" ht="22.5" customHeight="1">
      <c r="A73" s="35"/>
      <c r="B73" s="46"/>
      <c r="C73" s="44"/>
      <c r="D73" s="4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</row>
    <row r="74" ht="22.5" customHeight="1">
      <c r="A74" s="35"/>
      <c r="B74" s="46"/>
      <c r="C74" s="44"/>
      <c r="D74" s="4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</row>
    <row r="75" ht="22.5" customHeight="1">
      <c r="A75" s="35"/>
      <c r="B75" s="46"/>
      <c r="C75" s="44"/>
      <c r="D75" s="4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</row>
    <row r="76" ht="22.5" customHeight="1">
      <c r="A76" s="35"/>
      <c r="B76" s="46"/>
      <c r="C76" s="44"/>
      <c r="D76" s="4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</row>
    <row r="77" ht="22.5" customHeight="1">
      <c r="A77" s="35"/>
      <c r="B77" s="46"/>
      <c r="C77" s="44"/>
      <c r="D77" s="4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</row>
    <row r="78" ht="22.5" customHeight="1">
      <c r="A78" s="35"/>
      <c r="B78" s="46"/>
      <c r="C78" s="44"/>
      <c r="D78" s="4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</row>
    <row r="79" ht="22.5" customHeight="1">
      <c r="A79" s="35"/>
      <c r="B79" s="46"/>
      <c r="C79" s="44"/>
      <c r="D79" s="4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</row>
    <row r="80" ht="22.5" customHeight="1">
      <c r="A80" s="35"/>
      <c r="B80" s="46"/>
      <c r="C80" s="44"/>
      <c r="D80" s="4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</row>
    <row r="81" ht="22.5" customHeight="1">
      <c r="A81" s="35"/>
      <c r="B81" s="46"/>
      <c r="C81" s="44"/>
      <c r="D81" s="4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</row>
    <row r="82" ht="22.5" customHeight="1">
      <c r="A82" s="35"/>
      <c r="B82" s="46"/>
      <c r="C82" s="44"/>
      <c r="D82" s="4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</row>
    <row r="83" ht="22.5" customHeight="1">
      <c r="A83" s="35"/>
      <c r="B83" s="46"/>
      <c r="C83" s="44"/>
      <c r="D83" s="4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</row>
    <row r="84" ht="22.5" customHeight="1">
      <c r="A84" s="35"/>
      <c r="B84" s="46"/>
      <c r="C84" s="44"/>
      <c r="D84" s="4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</row>
    <row r="85" ht="22.5" customHeight="1">
      <c r="A85" s="35"/>
      <c r="B85" s="46"/>
      <c r="C85" s="44"/>
      <c r="D85" s="4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</row>
    <row r="86" ht="22.5" customHeight="1">
      <c r="A86" s="35"/>
      <c r="B86" s="46"/>
      <c r="C86" s="44"/>
      <c r="D86" s="4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</row>
    <row r="87" ht="22.5" customHeight="1">
      <c r="A87" s="35"/>
      <c r="B87" s="46"/>
      <c r="C87" s="44"/>
      <c r="D87" s="4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</row>
    <row r="88" ht="22.5" customHeight="1">
      <c r="A88" s="35"/>
      <c r="B88" s="46"/>
      <c r="C88" s="44"/>
      <c r="D88" s="4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</row>
    <row r="89" ht="22.5" customHeight="1">
      <c r="A89" s="35"/>
      <c r="B89" s="46"/>
      <c r="C89" s="44"/>
      <c r="D89" s="4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</row>
    <row r="90" ht="22.5" customHeight="1">
      <c r="A90" s="35"/>
      <c r="B90" s="46"/>
      <c r="C90" s="44"/>
      <c r="D90" s="4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</row>
    <row r="91" ht="22.5" customHeight="1">
      <c r="A91" s="35"/>
      <c r="B91" s="46"/>
      <c r="C91" s="44"/>
      <c r="D91" s="4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</row>
    <row r="92" ht="22.5" customHeight="1">
      <c r="A92" s="35"/>
      <c r="B92" s="46"/>
      <c r="C92" s="44"/>
      <c r="D92" s="4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</row>
    <row r="93" ht="22.5" customHeight="1">
      <c r="A93" s="35"/>
      <c r="B93" s="46"/>
      <c r="C93" s="44"/>
      <c r="D93" s="4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</row>
    <row r="94" ht="22.5" customHeight="1">
      <c r="A94" s="35"/>
      <c r="B94" s="46"/>
      <c r="C94" s="44"/>
      <c r="D94" s="4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</row>
    <row r="95" ht="22.5" customHeight="1">
      <c r="A95" s="35"/>
      <c r="B95" s="46"/>
      <c r="C95" s="44"/>
      <c r="D95" s="4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</row>
    <row r="96" ht="22.5" customHeight="1">
      <c r="A96" s="35"/>
      <c r="B96" s="46"/>
      <c r="C96" s="44"/>
      <c r="D96" s="4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</row>
    <row r="97" ht="22.5" customHeight="1">
      <c r="A97" s="35"/>
      <c r="B97" s="46"/>
      <c r="C97" s="44"/>
      <c r="D97" s="4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</row>
    <row r="98" ht="22.5" customHeight="1">
      <c r="A98" s="35"/>
      <c r="B98" s="46"/>
      <c r="C98" s="44"/>
      <c r="D98" s="4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</row>
    <row r="99" ht="22.5" customHeight="1">
      <c r="A99" s="35"/>
      <c r="B99" s="46"/>
      <c r="C99" s="44"/>
      <c r="D99" s="4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</row>
    <row r="100" ht="22.5" customHeight="1">
      <c r="A100" s="35"/>
      <c r="B100" s="46"/>
      <c r="C100" s="44"/>
      <c r="D100" s="4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 ht="22.5" customHeight="1">
      <c r="A101" s="35"/>
      <c r="B101" s="46"/>
      <c r="C101" s="44"/>
      <c r="D101" s="4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 ht="22.5" customHeight="1">
      <c r="A102" s="35"/>
      <c r="B102" s="46"/>
      <c r="C102" s="44"/>
      <c r="D102" s="4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 ht="22.5" customHeight="1">
      <c r="A103" s="35"/>
      <c r="B103" s="46"/>
      <c r="C103" s="44"/>
      <c r="D103" s="4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 ht="22.5" customHeight="1">
      <c r="A104" s="35"/>
      <c r="B104" s="46"/>
      <c r="C104" s="44"/>
      <c r="D104" s="4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 ht="22.5" customHeight="1">
      <c r="A105" s="35"/>
      <c r="B105" s="46"/>
      <c r="C105" s="44"/>
      <c r="D105" s="4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 ht="22.5" customHeight="1">
      <c r="A106" s="35"/>
      <c r="B106" s="46"/>
      <c r="C106" s="44"/>
      <c r="D106" s="4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 ht="22.5" customHeight="1">
      <c r="A107" s="35"/>
      <c r="B107" s="46"/>
      <c r="C107" s="44"/>
      <c r="D107" s="4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 ht="22.5" customHeight="1">
      <c r="A108" s="35"/>
      <c r="B108" s="46"/>
      <c r="C108" s="44"/>
      <c r="D108" s="4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 ht="22.5" customHeight="1">
      <c r="A109" s="35"/>
      <c r="B109" s="46"/>
      <c r="C109" s="44"/>
      <c r="D109" s="4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 ht="22.5" customHeight="1">
      <c r="A110" s="35"/>
      <c r="B110" s="46"/>
      <c r="C110" s="44"/>
      <c r="D110" s="4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 ht="22.5" customHeight="1">
      <c r="A111" s="35"/>
      <c r="B111" s="46"/>
      <c r="C111" s="44"/>
      <c r="D111" s="4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 ht="22.5" customHeight="1">
      <c r="A112" s="35"/>
      <c r="B112" s="46"/>
      <c r="C112" s="44"/>
      <c r="D112" s="4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 ht="22.5" customHeight="1">
      <c r="A113" s="35"/>
      <c r="B113" s="46"/>
      <c r="C113" s="44"/>
      <c r="D113" s="4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 ht="22.5" customHeight="1">
      <c r="A114" s="35"/>
      <c r="B114" s="46"/>
      <c r="C114" s="44"/>
      <c r="D114" s="4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 ht="22.5" customHeight="1">
      <c r="A115" s="35"/>
      <c r="B115" s="46"/>
      <c r="C115" s="44"/>
      <c r="D115" s="4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 ht="22.5" customHeight="1">
      <c r="A116" s="35"/>
      <c r="B116" s="46"/>
      <c r="C116" s="44"/>
      <c r="D116" s="4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 ht="22.5" customHeight="1">
      <c r="A117" s="35"/>
      <c r="B117" s="46"/>
      <c r="C117" s="44"/>
      <c r="D117" s="4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 ht="22.5" customHeight="1">
      <c r="A118" s="35"/>
      <c r="B118" s="46"/>
      <c r="C118" s="44"/>
      <c r="D118" s="4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 ht="22.5" customHeight="1">
      <c r="A119" s="35"/>
      <c r="B119" s="46"/>
      <c r="C119" s="44"/>
      <c r="D119" s="4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 ht="22.5" customHeight="1">
      <c r="A120" s="35"/>
      <c r="B120" s="46"/>
      <c r="C120" s="44"/>
      <c r="D120" s="4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 ht="22.5" customHeight="1">
      <c r="A121" s="35"/>
      <c r="B121" s="46"/>
      <c r="C121" s="44"/>
      <c r="D121" s="4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 ht="22.5" customHeight="1">
      <c r="A122" s="35"/>
      <c r="B122" s="46"/>
      <c r="C122" s="44"/>
      <c r="D122" s="4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 ht="22.5" customHeight="1">
      <c r="A123" s="35"/>
      <c r="B123" s="46"/>
      <c r="C123" s="44"/>
      <c r="D123" s="4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 ht="22.5" customHeight="1">
      <c r="A124" s="35"/>
      <c r="B124" s="46"/>
      <c r="C124" s="44"/>
      <c r="D124" s="4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 ht="22.5" customHeight="1">
      <c r="A125" s="35"/>
      <c r="B125" s="46"/>
      <c r="C125" s="44"/>
      <c r="D125" s="4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 ht="22.5" customHeight="1">
      <c r="A126" s="35"/>
      <c r="B126" s="46"/>
      <c r="C126" s="44"/>
      <c r="D126" s="4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 ht="22.5" customHeight="1">
      <c r="A127" s="35"/>
      <c r="B127" s="46"/>
      <c r="C127" s="44"/>
      <c r="D127" s="4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 ht="22.5" customHeight="1">
      <c r="A128" s="35"/>
      <c r="B128" s="46"/>
      <c r="C128" s="44"/>
      <c r="D128" s="4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 ht="22.5" customHeight="1">
      <c r="A129" s="35"/>
      <c r="B129" s="46"/>
      <c r="C129" s="44"/>
      <c r="D129" s="4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 ht="22.5" customHeight="1">
      <c r="A130" s="35"/>
      <c r="B130" s="46"/>
      <c r="C130" s="44"/>
      <c r="D130" s="4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 ht="22.5" customHeight="1">
      <c r="A131" s="35"/>
      <c r="B131" s="46"/>
      <c r="C131" s="44"/>
      <c r="D131" s="4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 ht="22.5" customHeight="1">
      <c r="A132" s="35"/>
      <c r="B132" s="46"/>
      <c r="C132" s="44"/>
      <c r="D132" s="4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 ht="22.5" customHeight="1">
      <c r="A133" s="35"/>
      <c r="B133" s="46"/>
      <c r="C133" s="44"/>
      <c r="D133" s="4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 ht="22.5" customHeight="1">
      <c r="A134" s="35"/>
      <c r="B134" s="46"/>
      <c r="C134" s="44"/>
      <c r="D134" s="4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 ht="22.5" customHeight="1">
      <c r="A135" s="35"/>
      <c r="B135" s="46"/>
      <c r="C135" s="44"/>
      <c r="D135" s="4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 ht="22.5" customHeight="1">
      <c r="A136" s="35"/>
      <c r="B136" s="46"/>
      <c r="C136" s="44"/>
      <c r="D136" s="4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 ht="22.5" customHeight="1">
      <c r="A137" s="35"/>
      <c r="B137" s="46"/>
      <c r="C137" s="44"/>
      <c r="D137" s="4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 ht="22.5" customHeight="1">
      <c r="A138" s="35"/>
      <c r="B138" s="46"/>
      <c r="C138" s="44"/>
      <c r="D138" s="4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 ht="22.5" customHeight="1">
      <c r="A139" s="35"/>
      <c r="B139" s="46"/>
      <c r="C139" s="44"/>
      <c r="D139" s="4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 ht="22.5" customHeight="1">
      <c r="A140" s="35"/>
      <c r="B140" s="46"/>
      <c r="C140" s="44"/>
      <c r="D140" s="4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 ht="22.5" customHeight="1">
      <c r="A141" s="35"/>
      <c r="B141" s="46"/>
      <c r="C141" s="44"/>
      <c r="D141" s="4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 ht="22.5" customHeight="1">
      <c r="A142" s="35"/>
      <c r="B142" s="46"/>
      <c r="C142" s="44"/>
      <c r="D142" s="4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 ht="22.5" customHeight="1">
      <c r="A143" s="35"/>
      <c r="B143" s="46"/>
      <c r="C143" s="44"/>
      <c r="D143" s="4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 ht="22.5" customHeight="1">
      <c r="A144" s="35"/>
      <c r="B144" s="46"/>
      <c r="C144" s="44"/>
      <c r="D144" s="4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 ht="22.5" customHeight="1">
      <c r="A145" s="35"/>
      <c r="B145" s="46"/>
      <c r="C145" s="44"/>
      <c r="D145" s="4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 ht="22.5" customHeight="1">
      <c r="A146" s="35"/>
      <c r="B146" s="46"/>
      <c r="C146" s="44"/>
      <c r="D146" s="4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 ht="22.5" customHeight="1">
      <c r="A147" s="35"/>
      <c r="B147" s="46"/>
      <c r="C147" s="44"/>
      <c r="D147" s="4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 ht="22.5" customHeight="1">
      <c r="A148" s="35"/>
      <c r="B148" s="46"/>
      <c r="C148" s="44"/>
      <c r="D148" s="4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 ht="22.5" customHeight="1">
      <c r="A149" s="35"/>
      <c r="B149" s="46"/>
      <c r="C149" s="44"/>
      <c r="D149" s="4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 ht="22.5" customHeight="1">
      <c r="A150" s="35"/>
      <c r="B150" s="46"/>
      <c r="C150" s="44"/>
      <c r="D150" s="4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 ht="22.5" customHeight="1">
      <c r="A151" s="35"/>
      <c r="B151" s="46"/>
      <c r="C151" s="44"/>
      <c r="D151" s="4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 ht="22.5" customHeight="1">
      <c r="A152" s="35"/>
      <c r="B152" s="46"/>
      <c r="C152" s="44"/>
      <c r="D152" s="4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 ht="22.5" customHeight="1">
      <c r="A153" s="35"/>
      <c r="B153" s="46"/>
      <c r="C153" s="44"/>
      <c r="D153" s="4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 ht="22.5" customHeight="1">
      <c r="A154" s="35"/>
      <c r="B154" s="46"/>
      <c r="C154" s="44"/>
      <c r="D154" s="4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 ht="22.5" customHeight="1">
      <c r="A155" s="35"/>
      <c r="B155" s="46"/>
      <c r="C155" s="44"/>
      <c r="D155" s="4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 ht="22.5" customHeight="1">
      <c r="A156" s="35"/>
      <c r="B156" s="46"/>
      <c r="C156" s="44"/>
      <c r="D156" s="4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 ht="22.5" customHeight="1">
      <c r="A157" s="35"/>
      <c r="B157" s="46"/>
      <c r="C157" s="44"/>
      <c r="D157" s="4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 ht="22.5" customHeight="1">
      <c r="A158" s="35"/>
      <c r="B158" s="46"/>
      <c r="C158" s="44"/>
      <c r="D158" s="4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 ht="22.5" customHeight="1">
      <c r="A159" s="35"/>
      <c r="B159" s="46"/>
      <c r="C159" s="44"/>
      <c r="D159" s="4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 ht="22.5" customHeight="1">
      <c r="A160" s="35"/>
      <c r="B160" s="46"/>
      <c r="C160" s="44"/>
      <c r="D160" s="4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 ht="22.5" customHeight="1">
      <c r="A161" s="35"/>
      <c r="B161" s="46"/>
      <c r="C161" s="44"/>
      <c r="D161" s="4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 ht="22.5" customHeight="1">
      <c r="A162" s="35"/>
      <c r="B162" s="46"/>
      <c r="C162" s="44"/>
      <c r="D162" s="4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 ht="22.5" customHeight="1">
      <c r="A163" s="35"/>
      <c r="B163" s="46"/>
      <c r="C163" s="44"/>
      <c r="D163" s="4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 ht="22.5" customHeight="1">
      <c r="A164" s="35"/>
      <c r="B164" s="46"/>
      <c r="C164" s="44"/>
      <c r="D164" s="4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 ht="22.5" customHeight="1">
      <c r="A165" s="35"/>
      <c r="B165" s="46"/>
      <c r="C165" s="44"/>
      <c r="D165" s="4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 ht="22.5" customHeight="1">
      <c r="A166" s="35"/>
      <c r="B166" s="46"/>
      <c r="C166" s="44"/>
      <c r="D166" s="4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 ht="22.5" customHeight="1">
      <c r="A167" s="35"/>
      <c r="B167" s="46"/>
      <c r="C167" s="44"/>
      <c r="D167" s="4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 ht="22.5" customHeight="1">
      <c r="A168" s="35"/>
      <c r="B168" s="46"/>
      <c r="C168" s="44"/>
      <c r="D168" s="4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 ht="22.5" customHeight="1">
      <c r="A169" s="35"/>
      <c r="B169" s="46"/>
      <c r="C169" s="44"/>
      <c r="D169" s="4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 ht="22.5" customHeight="1">
      <c r="A170" s="35"/>
      <c r="B170" s="46"/>
      <c r="C170" s="44"/>
      <c r="D170" s="4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 ht="22.5" customHeight="1">
      <c r="A171" s="35"/>
      <c r="B171" s="46"/>
      <c r="C171" s="44"/>
      <c r="D171" s="4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 ht="22.5" customHeight="1">
      <c r="A172" s="35"/>
      <c r="B172" s="46"/>
      <c r="C172" s="44"/>
      <c r="D172" s="4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 ht="22.5" customHeight="1">
      <c r="A173" s="35"/>
      <c r="B173" s="46"/>
      <c r="C173" s="44"/>
      <c r="D173" s="4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 ht="22.5" customHeight="1">
      <c r="A174" s="35"/>
      <c r="B174" s="46"/>
      <c r="C174" s="44"/>
      <c r="D174" s="4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 ht="22.5" customHeight="1">
      <c r="A175" s="35"/>
      <c r="B175" s="46"/>
      <c r="C175" s="44"/>
      <c r="D175" s="4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 ht="22.5" customHeight="1">
      <c r="A176" s="35"/>
      <c r="B176" s="46"/>
      <c r="C176" s="44"/>
      <c r="D176" s="4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 ht="22.5" customHeight="1">
      <c r="A177" s="35"/>
      <c r="B177" s="46"/>
      <c r="C177" s="44"/>
      <c r="D177" s="4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 ht="22.5" customHeight="1">
      <c r="A178" s="35"/>
      <c r="B178" s="46"/>
      <c r="C178" s="44"/>
      <c r="D178" s="4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 ht="22.5" customHeight="1">
      <c r="A179" s="35"/>
      <c r="B179" s="46"/>
      <c r="C179" s="44"/>
      <c r="D179" s="4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 ht="22.5" customHeight="1">
      <c r="A180" s="35"/>
      <c r="B180" s="46"/>
      <c r="C180" s="44"/>
      <c r="D180" s="4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 ht="22.5" customHeight="1">
      <c r="A181" s="35"/>
      <c r="B181" s="46"/>
      <c r="C181" s="44"/>
      <c r="D181" s="4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 ht="22.5" customHeight="1">
      <c r="A182" s="35"/>
      <c r="B182" s="46"/>
      <c r="C182" s="44"/>
      <c r="D182" s="4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 ht="22.5" customHeight="1">
      <c r="A183" s="35"/>
      <c r="B183" s="46"/>
      <c r="C183" s="44"/>
      <c r="D183" s="4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 ht="22.5" customHeight="1">
      <c r="A184" s="35"/>
      <c r="B184" s="46"/>
      <c r="C184" s="44"/>
      <c r="D184" s="4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 ht="22.5" customHeight="1">
      <c r="A185" s="35"/>
      <c r="B185" s="46"/>
      <c r="C185" s="44"/>
      <c r="D185" s="4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 ht="22.5" customHeight="1">
      <c r="A186" s="35"/>
      <c r="B186" s="46"/>
      <c r="C186" s="44"/>
      <c r="D186" s="4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 ht="22.5" customHeight="1">
      <c r="A187" s="35"/>
      <c r="B187" s="46"/>
      <c r="C187" s="44"/>
      <c r="D187" s="4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 ht="22.5" customHeight="1">
      <c r="A188" s="35"/>
      <c r="B188" s="46"/>
      <c r="C188" s="44"/>
      <c r="D188" s="4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 ht="22.5" customHeight="1">
      <c r="A189" s="35"/>
      <c r="B189" s="46"/>
      <c r="C189" s="44"/>
      <c r="D189" s="4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 ht="22.5" customHeight="1">
      <c r="A190" s="35"/>
      <c r="B190" s="46"/>
      <c r="C190" s="44"/>
      <c r="D190" s="4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 ht="22.5" customHeight="1">
      <c r="A191" s="35"/>
      <c r="B191" s="46"/>
      <c r="C191" s="44"/>
      <c r="D191" s="4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 ht="22.5" customHeight="1">
      <c r="A192" s="35"/>
      <c r="B192" s="46"/>
      <c r="C192" s="44"/>
      <c r="D192" s="4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 ht="22.5" customHeight="1">
      <c r="A193" s="35"/>
      <c r="B193" s="46"/>
      <c r="C193" s="44"/>
      <c r="D193" s="4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 ht="22.5" customHeight="1">
      <c r="A194" s="35"/>
      <c r="B194" s="46"/>
      <c r="C194" s="44"/>
      <c r="D194" s="4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 ht="22.5" customHeight="1">
      <c r="A195" s="35"/>
      <c r="B195" s="46"/>
      <c r="C195" s="44"/>
      <c r="D195" s="4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 ht="22.5" customHeight="1">
      <c r="A196" s="35"/>
      <c r="B196" s="46"/>
      <c r="C196" s="44"/>
      <c r="D196" s="4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 ht="22.5" customHeight="1">
      <c r="A197" s="35"/>
      <c r="B197" s="46"/>
      <c r="C197" s="44"/>
      <c r="D197" s="4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 ht="22.5" customHeight="1">
      <c r="A198" s="35"/>
      <c r="B198" s="46"/>
      <c r="C198" s="44"/>
      <c r="D198" s="4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 ht="22.5" customHeight="1">
      <c r="A199" s="35"/>
      <c r="B199" s="46"/>
      <c r="C199" s="44"/>
      <c r="D199" s="4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 ht="22.5" customHeight="1">
      <c r="A200" s="35"/>
      <c r="B200" s="46"/>
      <c r="C200" s="44"/>
      <c r="D200" s="4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 ht="22.5" customHeight="1">
      <c r="A201" s="35"/>
      <c r="B201" s="46"/>
      <c r="C201" s="44"/>
      <c r="D201" s="4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 ht="22.5" customHeight="1">
      <c r="A202" s="35"/>
      <c r="B202" s="46"/>
      <c r="C202" s="44"/>
      <c r="D202" s="4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 ht="22.5" customHeight="1">
      <c r="A203" s="35"/>
      <c r="B203" s="46"/>
      <c r="C203" s="44"/>
      <c r="D203" s="4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 ht="22.5" customHeight="1">
      <c r="A204" s="35"/>
      <c r="B204" s="46"/>
      <c r="C204" s="44"/>
      <c r="D204" s="4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 ht="22.5" customHeight="1">
      <c r="A205" s="35"/>
      <c r="B205" s="46"/>
      <c r="C205" s="44"/>
      <c r="D205" s="4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 ht="22.5" customHeight="1">
      <c r="A206" s="35"/>
      <c r="B206" s="46"/>
      <c r="C206" s="44"/>
      <c r="D206" s="4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 ht="22.5" customHeight="1">
      <c r="A207" s="35"/>
      <c r="B207" s="46"/>
      <c r="C207" s="44"/>
      <c r="D207" s="4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 ht="22.5" customHeight="1">
      <c r="A208" s="35"/>
      <c r="B208" s="46"/>
      <c r="C208" s="44"/>
      <c r="D208" s="4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 ht="22.5" customHeight="1">
      <c r="A209" s="35"/>
      <c r="B209" s="46"/>
      <c r="C209" s="44"/>
      <c r="D209" s="4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 ht="22.5" customHeight="1">
      <c r="A210" s="35"/>
      <c r="B210" s="46"/>
      <c r="C210" s="44"/>
      <c r="D210" s="4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 ht="22.5" customHeight="1">
      <c r="A211" s="35"/>
      <c r="B211" s="46"/>
      <c r="C211" s="44"/>
      <c r="D211" s="4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 ht="22.5" customHeight="1">
      <c r="A212" s="35"/>
      <c r="B212" s="46"/>
      <c r="C212" s="44"/>
      <c r="D212" s="4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 ht="22.5" customHeight="1">
      <c r="A213" s="35"/>
      <c r="B213" s="46"/>
      <c r="C213" s="44"/>
      <c r="D213" s="4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 ht="22.5" customHeight="1">
      <c r="A214" s="35"/>
      <c r="B214" s="46"/>
      <c r="C214" s="44"/>
      <c r="D214" s="4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 ht="22.5" customHeight="1">
      <c r="A215" s="35"/>
      <c r="B215" s="46"/>
      <c r="C215" s="44"/>
      <c r="D215" s="4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 ht="22.5" customHeight="1">
      <c r="A216" s="35"/>
      <c r="B216" s="46"/>
      <c r="C216" s="44"/>
      <c r="D216" s="4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 ht="22.5" customHeight="1">
      <c r="A217" s="35"/>
      <c r="B217" s="46"/>
      <c r="C217" s="44"/>
      <c r="D217" s="4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 ht="22.5" customHeight="1">
      <c r="A218" s="35"/>
      <c r="B218" s="46"/>
      <c r="C218" s="44"/>
      <c r="D218" s="4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 ht="22.5" customHeight="1">
      <c r="A219" s="35"/>
      <c r="B219" s="46"/>
      <c r="C219" s="44"/>
      <c r="D219" s="4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 ht="22.5" customHeight="1">
      <c r="A220" s="35"/>
      <c r="B220" s="46"/>
      <c r="C220" s="44"/>
      <c r="D220" s="4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6.71"/>
    <col customWidth="1" min="3" max="4" width="12.0"/>
    <col customWidth="1" min="6" max="6" width="15.57"/>
  </cols>
  <sheetData>
    <row r="1">
      <c r="A1" s="51" t="s">
        <v>33</v>
      </c>
      <c r="H1" s="52" t="s">
        <v>34</v>
      </c>
    </row>
    <row r="2">
      <c r="A2" s="51" t="s">
        <v>35</v>
      </c>
      <c r="B2" s="51" t="s">
        <v>36</v>
      </c>
      <c r="H2" s="53" t="s">
        <v>37</v>
      </c>
    </row>
    <row r="3">
      <c r="A3" s="51" t="s">
        <v>38</v>
      </c>
      <c r="B3" s="51" t="s">
        <v>39</v>
      </c>
      <c r="H3" s="54" t="s">
        <v>40</v>
      </c>
    </row>
    <row r="4">
      <c r="A4" s="51" t="s">
        <v>41</v>
      </c>
      <c r="B4" s="51" t="s">
        <v>42</v>
      </c>
      <c r="H4" s="55" t="s">
        <v>43</v>
      </c>
    </row>
    <row r="5">
      <c r="H5" s="55" t="s">
        <v>44</v>
      </c>
    </row>
    <row r="6">
      <c r="A6" s="51" t="s">
        <v>45</v>
      </c>
      <c r="B6" s="56" t="s">
        <v>46</v>
      </c>
      <c r="H6" s="55" t="s">
        <v>47</v>
      </c>
    </row>
    <row r="7">
      <c r="A7" s="51" t="s">
        <v>48</v>
      </c>
      <c r="B7" s="51" t="s">
        <v>49</v>
      </c>
      <c r="H7" s="54" t="s">
        <v>50</v>
      </c>
    </row>
    <row r="8">
      <c r="H8" s="57" t="s">
        <v>51</v>
      </c>
    </row>
    <row r="9">
      <c r="A9" s="51" t="s">
        <v>52</v>
      </c>
      <c r="H9" s="55" t="s">
        <v>53</v>
      </c>
    </row>
    <row r="10">
      <c r="A10" s="52" t="s">
        <v>54</v>
      </c>
      <c r="H10" s="58"/>
    </row>
    <row r="11">
      <c r="A11" s="51" t="s">
        <v>55</v>
      </c>
      <c r="H11" s="59" t="s">
        <v>42</v>
      </c>
    </row>
    <row r="12">
      <c r="H12" s="55" t="s">
        <v>56</v>
      </c>
    </row>
    <row r="13">
      <c r="H13" s="55" t="s">
        <v>57</v>
      </c>
    </row>
    <row r="14">
      <c r="A14" s="52" t="s">
        <v>58</v>
      </c>
      <c r="C14" s="52" t="s">
        <v>59</v>
      </c>
      <c r="D14" s="52" t="s">
        <v>60</v>
      </c>
      <c r="E14" s="52" t="s">
        <v>61</v>
      </c>
      <c r="H14" s="55" t="s">
        <v>62</v>
      </c>
    </row>
    <row r="15">
      <c r="A15" s="51" t="s">
        <v>63</v>
      </c>
      <c r="B15" s="52" t="s">
        <v>64</v>
      </c>
      <c r="C15" s="52">
        <v>3.0</v>
      </c>
      <c r="D15" s="52">
        <v>1.0</v>
      </c>
      <c r="E15" s="37">
        <f t="shared" ref="E15:E26" si="1">sum(C15:D15)</f>
        <v>4</v>
      </c>
      <c r="H15" s="58"/>
    </row>
    <row r="16">
      <c r="B16" s="52" t="s">
        <v>65</v>
      </c>
      <c r="C16" s="52">
        <v>3.0</v>
      </c>
      <c r="D16" s="52">
        <v>1.0</v>
      </c>
      <c r="E16" s="37">
        <f t="shared" si="1"/>
        <v>4</v>
      </c>
      <c r="H16" s="59" t="s">
        <v>66</v>
      </c>
    </row>
    <row r="17">
      <c r="B17" s="52" t="s">
        <v>67</v>
      </c>
      <c r="C17" s="52">
        <v>3.0</v>
      </c>
      <c r="D17" s="52">
        <v>1.0</v>
      </c>
      <c r="E17" s="37">
        <f t="shared" si="1"/>
        <v>4</v>
      </c>
      <c r="F17" s="37">
        <f>sum(E15:E17)</f>
        <v>12</v>
      </c>
      <c r="H17" s="55" t="s">
        <v>68</v>
      </c>
    </row>
    <row r="18">
      <c r="A18" s="52" t="s">
        <v>69</v>
      </c>
      <c r="B18" s="52" t="s">
        <v>70</v>
      </c>
      <c r="C18" s="52">
        <v>9.0</v>
      </c>
      <c r="D18" s="52">
        <v>3.0</v>
      </c>
      <c r="E18" s="37">
        <f t="shared" si="1"/>
        <v>12</v>
      </c>
      <c r="H18" s="55" t="s">
        <v>71</v>
      </c>
    </row>
    <row r="19">
      <c r="B19" s="52" t="s">
        <v>72</v>
      </c>
      <c r="C19" s="52">
        <v>9.0</v>
      </c>
      <c r="D19" s="52">
        <v>3.0</v>
      </c>
      <c r="E19" s="37">
        <f t="shared" si="1"/>
        <v>12</v>
      </c>
    </row>
    <row r="20">
      <c r="B20" s="52" t="s">
        <v>73</v>
      </c>
      <c r="C20" s="52">
        <v>9.0</v>
      </c>
      <c r="D20" s="52">
        <v>3.0</v>
      </c>
      <c r="E20" s="37">
        <f t="shared" si="1"/>
        <v>12</v>
      </c>
      <c r="F20" s="37">
        <f>sum(E18:E20)</f>
        <v>36</v>
      </c>
      <c r="H20" s="51" t="s">
        <v>74</v>
      </c>
    </row>
    <row r="21">
      <c r="A21" s="52" t="s">
        <v>75</v>
      </c>
      <c r="B21" s="52" t="s">
        <v>70</v>
      </c>
      <c r="C21" s="52">
        <v>2.0</v>
      </c>
      <c r="D21" s="52">
        <v>1.0</v>
      </c>
      <c r="E21" s="37">
        <f t="shared" si="1"/>
        <v>3</v>
      </c>
      <c r="H21" s="60" t="s">
        <v>76</v>
      </c>
    </row>
    <row r="22">
      <c r="A22" s="61" t="s">
        <v>77</v>
      </c>
      <c r="B22" s="52" t="s">
        <v>72</v>
      </c>
      <c r="C22" s="52">
        <v>2.0</v>
      </c>
      <c r="D22" s="52">
        <v>1.0</v>
      </c>
      <c r="E22" s="37">
        <f t="shared" si="1"/>
        <v>3</v>
      </c>
      <c r="H22" s="60" t="s">
        <v>78</v>
      </c>
    </row>
    <row r="23">
      <c r="B23" s="52" t="s">
        <v>73</v>
      </c>
      <c r="C23" s="52">
        <v>2.0</v>
      </c>
      <c r="D23" s="52">
        <v>1.0</v>
      </c>
      <c r="E23" s="37">
        <f t="shared" si="1"/>
        <v>3</v>
      </c>
      <c r="F23" s="37">
        <f>sum(E21:E23)</f>
        <v>9</v>
      </c>
      <c r="H23" s="56" t="s">
        <v>79</v>
      </c>
    </row>
    <row r="24">
      <c r="A24" s="51" t="s">
        <v>80</v>
      </c>
      <c r="B24" s="52" t="s">
        <v>70</v>
      </c>
      <c r="C24" s="52">
        <v>2.0</v>
      </c>
      <c r="D24" s="52">
        <v>1.0</v>
      </c>
      <c r="E24" s="37">
        <f t="shared" si="1"/>
        <v>3</v>
      </c>
      <c r="H24" s="56" t="s">
        <v>81</v>
      </c>
    </row>
    <row r="25">
      <c r="B25" s="52" t="s">
        <v>72</v>
      </c>
      <c r="C25" s="52">
        <v>2.0</v>
      </c>
      <c r="D25" s="52">
        <v>1.0</v>
      </c>
      <c r="E25" s="37">
        <f t="shared" si="1"/>
        <v>3</v>
      </c>
    </row>
    <row r="26">
      <c r="B26" s="52" t="s">
        <v>73</v>
      </c>
      <c r="C26" s="51">
        <v>2.0</v>
      </c>
      <c r="D26" s="52">
        <v>1.0</v>
      </c>
      <c r="E26" s="37">
        <f t="shared" si="1"/>
        <v>3</v>
      </c>
      <c r="F26" s="37">
        <f>sum(E24:E26)</f>
        <v>9</v>
      </c>
    </row>
    <row r="27">
      <c r="D27" s="52" t="s">
        <v>61</v>
      </c>
      <c r="E27" s="37">
        <f>sum(E15:E26)</f>
        <v>66</v>
      </c>
    </row>
    <row r="28">
      <c r="D28" s="51" t="s">
        <v>82</v>
      </c>
      <c r="E28" s="62">
        <f>E27/6</f>
        <v>11</v>
      </c>
    </row>
  </sheetData>
  <hyperlinks>
    <hyperlink r:id="rId1" ref="H3"/>
    <hyperlink r:id="rId2" ref="H4"/>
    <hyperlink r:id="rId3" ref="H5"/>
    <hyperlink r:id="rId4" ref="B6"/>
    <hyperlink r:id="rId5" ref="H6"/>
    <hyperlink r:id="rId6" ref="H7"/>
    <hyperlink r:id="rId7" ref="H8"/>
    <hyperlink r:id="rId8" ref="H9"/>
    <hyperlink r:id="rId9" ref="H12"/>
    <hyperlink r:id="rId10" ref="H13"/>
    <hyperlink r:id="rId11" ref="H14"/>
    <hyperlink r:id="rId12" ref="H17"/>
    <hyperlink r:id="rId13" ref="H18"/>
    <hyperlink r:id="rId14" ref="H21"/>
    <hyperlink r:id="rId15" ref="H22"/>
    <hyperlink r:id="rId16" ref="H23"/>
    <hyperlink r:id="rId17" ref="H24"/>
  </hyperlinks>
  <drawing r:id="rId1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I1" s="63"/>
    </row>
    <row r="2">
      <c r="I2" s="63"/>
    </row>
    <row r="3">
      <c r="I3" s="63"/>
    </row>
    <row r="4">
      <c r="I4" s="63"/>
    </row>
    <row r="5">
      <c r="I5" s="63"/>
    </row>
    <row r="6">
      <c r="I6" s="63"/>
    </row>
    <row r="7">
      <c r="I7" s="63"/>
    </row>
    <row r="8">
      <c r="I8" s="63"/>
    </row>
    <row r="9">
      <c r="I9" s="63"/>
    </row>
    <row r="10">
      <c r="I10" s="63"/>
    </row>
    <row r="11">
      <c r="I11" s="63"/>
    </row>
    <row r="12">
      <c r="I12" s="63"/>
    </row>
    <row r="13">
      <c r="I13" s="63"/>
    </row>
    <row r="14">
      <c r="I14" s="63"/>
    </row>
    <row r="15">
      <c r="I15" s="63"/>
    </row>
    <row r="16">
      <c r="I16" s="63"/>
    </row>
    <row r="17">
      <c r="I17" s="63"/>
    </row>
    <row r="18">
      <c r="I18" s="63"/>
    </row>
    <row r="19">
      <c r="I19" s="63"/>
    </row>
    <row r="20">
      <c r="I20" s="63"/>
    </row>
    <row r="21">
      <c r="I21" s="63"/>
    </row>
    <row r="22">
      <c r="I22" s="63"/>
    </row>
    <row r="23">
      <c r="I23" s="63"/>
    </row>
    <row r="24">
      <c r="A24" s="51" t="s">
        <v>83</v>
      </c>
      <c r="I24" s="63"/>
    </row>
    <row r="25">
      <c r="A25" s="52" t="s">
        <v>84</v>
      </c>
      <c r="I25" s="63"/>
    </row>
    <row r="26">
      <c r="A26" s="52" t="s">
        <v>85</v>
      </c>
      <c r="I26" s="63"/>
    </row>
    <row r="27">
      <c r="A27" s="52" t="s">
        <v>86</v>
      </c>
      <c r="I27" s="63"/>
    </row>
    <row r="28">
      <c r="A28" s="52" t="s">
        <v>87</v>
      </c>
      <c r="I28" s="63"/>
    </row>
    <row r="29">
      <c r="A29" s="52" t="s">
        <v>88</v>
      </c>
      <c r="I29" s="63"/>
    </row>
    <row r="30">
      <c r="A30" s="52" t="s">
        <v>89</v>
      </c>
      <c r="I30" s="63"/>
    </row>
    <row r="31">
      <c r="I31" s="63"/>
    </row>
    <row r="32">
      <c r="I32" s="63"/>
    </row>
    <row r="33">
      <c r="I33" s="63"/>
    </row>
    <row r="34">
      <c r="I34" s="63"/>
    </row>
    <row r="35">
      <c r="I35" s="63"/>
    </row>
    <row r="36">
      <c r="I36" s="63"/>
    </row>
    <row r="37">
      <c r="I37" s="63"/>
    </row>
    <row r="38">
      <c r="I38" s="63"/>
    </row>
    <row r="39">
      <c r="I39" s="63"/>
    </row>
    <row r="40">
      <c r="I40" s="63"/>
    </row>
    <row r="41">
      <c r="I41" s="63"/>
    </row>
    <row r="42">
      <c r="I42" s="63"/>
    </row>
    <row r="43">
      <c r="I43" s="63"/>
    </row>
    <row r="44">
      <c r="I44" s="63"/>
    </row>
    <row r="45">
      <c r="I45" s="63"/>
    </row>
    <row r="46">
      <c r="I46" s="63"/>
    </row>
    <row r="47">
      <c r="I47" s="63"/>
    </row>
    <row r="48">
      <c r="I48" s="63"/>
    </row>
    <row r="49">
      <c r="I49" s="63"/>
    </row>
    <row r="50">
      <c r="I50" s="63"/>
    </row>
    <row r="51">
      <c r="I51" s="63"/>
    </row>
    <row r="52">
      <c r="I52" s="63"/>
    </row>
    <row r="53">
      <c r="I53" s="63"/>
    </row>
    <row r="54">
      <c r="I54" s="63"/>
    </row>
    <row r="55">
      <c r="I55" s="63"/>
    </row>
    <row r="56">
      <c r="I56" s="63"/>
    </row>
    <row r="57">
      <c r="I57" s="63"/>
    </row>
    <row r="58">
      <c r="I58" s="63"/>
    </row>
    <row r="59">
      <c r="I59" s="63"/>
    </row>
    <row r="60">
      <c r="I60" s="63"/>
    </row>
    <row r="61">
      <c r="I61" s="63"/>
    </row>
    <row r="62">
      <c r="I62" s="63"/>
    </row>
    <row r="63">
      <c r="I63" s="63"/>
    </row>
    <row r="64">
      <c r="I64" s="63"/>
    </row>
    <row r="65">
      <c r="I65" s="63"/>
    </row>
    <row r="66">
      <c r="I66" s="63"/>
    </row>
    <row r="67">
      <c r="I67" s="63"/>
    </row>
    <row r="68">
      <c r="I68" s="63"/>
    </row>
    <row r="69">
      <c r="I69" s="63"/>
    </row>
    <row r="70">
      <c r="I70" s="63"/>
    </row>
    <row r="71">
      <c r="I71" s="63"/>
    </row>
    <row r="72">
      <c r="I72" s="63"/>
    </row>
    <row r="73">
      <c r="I73" s="63"/>
    </row>
    <row r="74">
      <c r="I74" s="63"/>
    </row>
    <row r="75">
      <c r="I75" s="63"/>
    </row>
    <row r="76">
      <c r="I76" s="63"/>
    </row>
    <row r="77">
      <c r="I77" s="63"/>
    </row>
    <row r="78">
      <c r="I78" s="63"/>
    </row>
    <row r="79">
      <c r="I79" s="63"/>
    </row>
    <row r="80">
      <c r="I80" s="63"/>
    </row>
    <row r="81">
      <c r="I81" s="63"/>
    </row>
    <row r="82">
      <c r="I82" s="63"/>
    </row>
    <row r="83">
      <c r="I83" s="63"/>
    </row>
    <row r="84">
      <c r="I84" s="63"/>
    </row>
    <row r="85">
      <c r="I85" s="63"/>
    </row>
    <row r="86">
      <c r="I86" s="63"/>
    </row>
    <row r="87">
      <c r="I87" s="63"/>
    </row>
    <row r="88">
      <c r="I88" s="63"/>
    </row>
    <row r="89">
      <c r="I89" s="63"/>
    </row>
    <row r="90">
      <c r="I90" s="63"/>
    </row>
    <row r="91">
      <c r="I91" s="63"/>
    </row>
    <row r="92">
      <c r="I92" s="63"/>
    </row>
    <row r="93">
      <c r="I93" s="63"/>
    </row>
    <row r="94">
      <c r="I94" s="63"/>
    </row>
    <row r="95">
      <c r="I95" s="63"/>
    </row>
    <row r="96">
      <c r="I96" s="63"/>
    </row>
    <row r="97">
      <c r="I97" s="63"/>
    </row>
    <row r="98">
      <c r="I98" s="63"/>
    </row>
    <row r="99">
      <c r="I99" s="63"/>
    </row>
    <row r="100">
      <c r="I100" s="63"/>
    </row>
    <row r="101">
      <c r="I101" s="63"/>
    </row>
    <row r="102">
      <c r="I102" s="63"/>
    </row>
    <row r="103">
      <c r="I103" s="63"/>
    </row>
    <row r="104">
      <c r="I104" s="63"/>
    </row>
    <row r="105">
      <c r="I105" s="63"/>
    </row>
    <row r="106">
      <c r="I106" s="63"/>
    </row>
    <row r="107">
      <c r="I107" s="63"/>
    </row>
    <row r="108">
      <c r="I108" s="63"/>
    </row>
    <row r="109">
      <c r="I109" s="63"/>
    </row>
    <row r="110">
      <c r="I110" s="63"/>
    </row>
    <row r="111">
      <c r="I111" s="63"/>
    </row>
    <row r="112">
      <c r="I112" s="63"/>
    </row>
    <row r="113">
      <c r="I113" s="63"/>
    </row>
    <row r="114">
      <c r="I114" s="63"/>
    </row>
    <row r="115">
      <c r="I115" s="63"/>
    </row>
    <row r="116">
      <c r="I116" s="63"/>
    </row>
    <row r="117">
      <c r="I117" s="63"/>
    </row>
    <row r="118">
      <c r="I118" s="63"/>
    </row>
    <row r="119">
      <c r="I119" s="63"/>
    </row>
    <row r="120">
      <c r="I120" s="63"/>
    </row>
    <row r="121">
      <c r="I121" s="63"/>
    </row>
    <row r="122">
      <c r="I122" s="63"/>
    </row>
    <row r="123">
      <c r="I123" s="63"/>
    </row>
    <row r="124">
      <c r="I124" s="63"/>
    </row>
    <row r="125">
      <c r="I125" s="63"/>
    </row>
    <row r="126">
      <c r="I126" s="63"/>
    </row>
    <row r="127">
      <c r="I127" s="63"/>
    </row>
    <row r="128">
      <c r="I128" s="63"/>
    </row>
    <row r="129">
      <c r="I129" s="63"/>
    </row>
    <row r="130">
      <c r="I130" s="63"/>
    </row>
    <row r="131">
      <c r="I131" s="63"/>
    </row>
    <row r="132">
      <c r="I132" s="63"/>
    </row>
    <row r="133">
      <c r="I133" s="63"/>
    </row>
    <row r="134">
      <c r="I134" s="63"/>
    </row>
    <row r="135">
      <c r="I135" s="63"/>
    </row>
    <row r="136">
      <c r="I136" s="63"/>
    </row>
    <row r="137">
      <c r="I137" s="63"/>
    </row>
    <row r="138">
      <c r="I138" s="63"/>
    </row>
    <row r="139">
      <c r="I139" s="63"/>
    </row>
    <row r="140">
      <c r="I140" s="63"/>
    </row>
    <row r="141">
      <c r="I141" s="63"/>
    </row>
    <row r="142">
      <c r="I142" s="63"/>
    </row>
    <row r="143">
      <c r="I143" s="63"/>
    </row>
    <row r="144">
      <c r="I144" s="63"/>
    </row>
    <row r="145">
      <c r="I145" s="63"/>
    </row>
    <row r="146">
      <c r="I146" s="63"/>
    </row>
    <row r="147">
      <c r="I147" s="63"/>
    </row>
    <row r="148">
      <c r="I148" s="63"/>
    </row>
    <row r="149">
      <c r="I149" s="63"/>
    </row>
    <row r="150">
      <c r="I150" s="63"/>
    </row>
    <row r="151">
      <c r="I151" s="63"/>
    </row>
    <row r="152">
      <c r="I152" s="63"/>
    </row>
    <row r="153">
      <c r="I153" s="63"/>
    </row>
    <row r="154">
      <c r="I154" s="63"/>
    </row>
    <row r="155">
      <c r="I155" s="63"/>
    </row>
    <row r="156">
      <c r="I156" s="63"/>
    </row>
    <row r="157">
      <c r="I157" s="63"/>
    </row>
    <row r="158">
      <c r="I158" s="63"/>
    </row>
    <row r="159">
      <c r="I159" s="63"/>
    </row>
    <row r="160">
      <c r="I160" s="63"/>
    </row>
    <row r="161">
      <c r="I161" s="63"/>
    </row>
    <row r="162">
      <c r="I162" s="63"/>
    </row>
    <row r="163">
      <c r="I163" s="63"/>
    </row>
    <row r="164">
      <c r="I164" s="63"/>
    </row>
    <row r="165">
      <c r="I165" s="63"/>
    </row>
    <row r="166">
      <c r="I166" s="63"/>
    </row>
    <row r="167">
      <c r="I167" s="63"/>
    </row>
    <row r="168">
      <c r="I168" s="63"/>
    </row>
    <row r="169">
      <c r="I169" s="63"/>
    </row>
    <row r="170">
      <c r="I170" s="63"/>
    </row>
    <row r="171">
      <c r="I171" s="63"/>
    </row>
    <row r="172">
      <c r="I172" s="63"/>
    </row>
    <row r="173">
      <c r="I173" s="63"/>
    </row>
    <row r="174">
      <c r="I174" s="63"/>
    </row>
    <row r="175">
      <c r="I175" s="63"/>
    </row>
    <row r="176">
      <c r="I176" s="63"/>
    </row>
    <row r="177">
      <c r="I177" s="63"/>
    </row>
    <row r="178">
      <c r="I178" s="63"/>
    </row>
    <row r="179">
      <c r="I179" s="63"/>
    </row>
    <row r="180">
      <c r="I180" s="63"/>
    </row>
    <row r="181">
      <c r="I181" s="63"/>
    </row>
    <row r="182">
      <c r="I182" s="63"/>
    </row>
    <row r="183">
      <c r="I183" s="63"/>
    </row>
    <row r="184">
      <c r="I184" s="63"/>
    </row>
    <row r="185">
      <c r="I185" s="63"/>
    </row>
    <row r="186">
      <c r="I186" s="63"/>
    </row>
    <row r="187">
      <c r="I187" s="63"/>
    </row>
    <row r="188">
      <c r="I188" s="63"/>
    </row>
    <row r="189">
      <c r="I189" s="63"/>
    </row>
    <row r="190">
      <c r="I190" s="63"/>
    </row>
    <row r="191">
      <c r="I191" s="63"/>
    </row>
    <row r="192">
      <c r="I192" s="63"/>
    </row>
    <row r="193">
      <c r="I193" s="63"/>
    </row>
    <row r="194">
      <c r="I194" s="63"/>
    </row>
    <row r="195">
      <c r="I195" s="63"/>
    </row>
    <row r="196">
      <c r="I196" s="63"/>
    </row>
    <row r="197">
      <c r="I197" s="63"/>
    </row>
    <row r="198">
      <c r="I198" s="63"/>
    </row>
    <row r="199">
      <c r="I199" s="63"/>
    </row>
    <row r="200">
      <c r="I200" s="63"/>
    </row>
    <row r="201">
      <c r="I201" s="63"/>
    </row>
    <row r="202">
      <c r="I202" s="63"/>
    </row>
    <row r="203">
      <c r="I203" s="63"/>
    </row>
    <row r="204">
      <c r="I204" s="63"/>
    </row>
    <row r="205">
      <c r="I205" s="63"/>
    </row>
    <row r="206">
      <c r="I206" s="63"/>
    </row>
    <row r="207">
      <c r="I207" s="63"/>
    </row>
    <row r="208">
      <c r="I208" s="63"/>
    </row>
    <row r="209">
      <c r="I209" s="63"/>
    </row>
    <row r="210">
      <c r="I210" s="63"/>
    </row>
    <row r="211">
      <c r="I211" s="63"/>
    </row>
    <row r="212">
      <c r="I212" s="63"/>
    </row>
    <row r="213">
      <c r="I213" s="63"/>
    </row>
    <row r="214">
      <c r="I214" s="63"/>
    </row>
    <row r="215">
      <c r="I215" s="63"/>
    </row>
    <row r="216">
      <c r="I216" s="63"/>
    </row>
    <row r="217">
      <c r="I217" s="63"/>
    </row>
    <row r="218">
      <c r="I218" s="63"/>
    </row>
    <row r="219">
      <c r="I219" s="63"/>
    </row>
    <row r="220">
      <c r="I220" s="63"/>
    </row>
    <row r="221">
      <c r="I221" s="63"/>
    </row>
    <row r="222">
      <c r="I222" s="63"/>
    </row>
    <row r="223">
      <c r="I223" s="63"/>
    </row>
    <row r="224">
      <c r="I224" s="63"/>
    </row>
    <row r="225">
      <c r="I225" s="63"/>
    </row>
    <row r="226">
      <c r="I226" s="63"/>
    </row>
    <row r="227">
      <c r="I227" s="63"/>
    </row>
    <row r="228">
      <c r="I228" s="63"/>
    </row>
    <row r="229">
      <c r="I229" s="63"/>
    </row>
    <row r="230">
      <c r="I230" s="63"/>
    </row>
    <row r="231">
      <c r="I231" s="63"/>
    </row>
    <row r="232">
      <c r="I232" s="63"/>
    </row>
    <row r="233">
      <c r="I233" s="63"/>
    </row>
    <row r="234">
      <c r="I234" s="63"/>
    </row>
    <row r="235">
      <c r="I235" s="63"/>
    </row>
    <row r="236">
      <c r="I236" s="63"/>
    </row>
    <row r="237">
      <c r="I237" s="63"/>
    </row>
    <row r="238">
      <c r="I238" s="63"/>
    </row>
    <row r="239">
      <c r="I239" s="63"/>
    </row>
    <row r="240">
      <c r="I240" s="63"/>
    </row>
    <row r="241">
      <c r="I241" s="63"/>
    </row>
    <row r="242">
      <c r="I242" s="63"/>
    </row>
    <row r="243">
      <c r="I243" s="63"/>
    </row>
    <row r="244">
      <c r="I244" s="63"/>
    </row>
    <row r="245">
      <c r="I245" s="63"/>
    </row>
    <row r="246">
      <c r="I246" s="63"/>
    </row>
    <row r="247">
      <c r="I247" s="63"/>
    </row>
    <row r="248">
      <c r="I248" s="63"/>
    </row>
    <row r="249">
      <c r="I249" s="63"/>
    </row>
    <row r="250">
      <c r="I250" s="63"/>
    </row>
    <row r="251">
      <c r="I251" s="63"/>
    </row>
    <row r="252">
      <c r="I252" s="63"/>
    </row>
    <row r="253">
      <c r="I253" s="63"/>
    </row>
    <row r="254">
      <c r="I254" s="63"/>
    </row>
    <row r="255">
      <c r="I255" s="63"/>
    </row>
    <row r="256">
      <c r="I256" s="63"/>
    </row>
    <row r="257">
      <c r="I257" s="63"/>
    </row>
    <row r="258">
      <c r="I258" s="63"/>
    </row>
    <row r="259">
      <c r="I259" s="63"/>
    </row>
    <row r="260">
      <c r="I260" s="63"/>
    </row>
    <row r="261">
      <c r="I261" s="63"/>
    </row>
    <row r="262">
      <c r="I262" s="63"/>
    </row>
    <row r="263">
      <c r="I263" s="63"/>
    </row>
    <row r="264">
      <c r="I264" s="63"/>
    </row>
    <row r="265">
      <c r="I265" s="63"/>
    </row>
    <row r="266">
      <c r="I266" s="63"/>
    </row>
    <row r="267">
      <c r="I267" s="63"/>
    </row>
    <row r="268">
      <c r="I268" s="63"/>
    </row>
    <row r="269">
      <c r="I269" s="63"/>
    </row>
    <row r="270">
      <c r="I270" s="63"/>
    </row>
    <row r="271">
      <c r="I271" s="63"/>
    </row>
    <row r="272">
      <c r="I272" s="63"/>
    </row>
    <row r="273">
      <c r="I273" s="63"/>
    </row>
    <row r="274">
      <c r="I274" s="63"/>
    </row>
    <row r="275">
      <c r="I275" s="63"/>
    </row>
    <row r="276">
      <c r="I276" s="63"/>
    </row>
    <row r="277">
      <c r="I277" s="63"/>
    </row>
    <row r="278">
      <c r="I278" s="63"/>
    </row>
    <row r="279">
      <c r="I279" s="63"/>
    </row>
    <row r="280">
      <c r="I280" s="63"/>
    </row>
    <row r="281">
      <c r="I281" s="63"/>
    </row>
    <row r="282">
      <c r="I282" s="63"/>
    </row>
    <row r="283">
      <c r="I283" s="63"/>
    </row>
    <row r="284">
      <c r="I284" s="63"/>
    </row>
    <row r="285">
      <c r="I285" s="63"/>
    </row>
    <row r="286">
      <c r="I286" s="63"/>
    </row>
    <row r="287">
      <c r="I287" s="63"/>
    </row>
    <row r="288">
      <c r="I288" s="63"/>
    </row>
    <row r="289">
      <c r="I289" s="63"/>
    </row>
    <row r="290">
      <c r="I290" s="63"/>
    </row>
    <row r="291">
      <c r="I291" s="63"/>
    </row>
    <row r="292">
      <c r="I292" s="63"/>
    </row>
    <row r="293">
      <c r="I293" s="63"/>
    </row>
    <row r="294">
      <c r="I294" s="63"/>
    </row>
    <row r="295">
      <c r="I295" s="63"/>
    </row>
    <row r="296">
      <c r="I296" s="63"/>
    </row>
    <row r="297">
      <c r="I297" s="63"/>
    </row>
    <row r="298">
      <c r="I298" s="63"/>
    </row>
    <row r="299">
      <c r="I299" s="63"/>
    </row>
    <row r="300">
      <c r="I300" s="63"/>
    </row>
    <row r="301">
      <c r="I301" s="63"/>
    </row>
    <row r="302">
      <c r="I302" s="63"/>
    </row>
    <row r="303">
      <c r="I303" s="63"/>
    </row>
    <row r="304">
      <c r="I304" s="63"/>
    </row>
    <row r="305">
      <c r="I305" s="63"/>
    </row>
    <row r="306">
      <c r="I306" s="63"/>
    </row>
    <row r="307">
      <c r="I307" s="63"/>
    </row>
    <row r="308">
      <c r="I308" s="63"/>
    </row>
    <row r="309">
      <c r="I309" s="63"/>
    </row>
    <row r="310">
      <c r="I310" s="63"/>
    </row>
    <row r="311">
      <c r="I311" s="63"/>
    </row>
    <row r="312">
      <c r="I312" s="63"/>
    </row>
    <row r="313">
      <c r="I313" s="63"/>
    </row>
    <row r="314">
      <c r="I314" s="63"/>
    </row>
    <row r="315">
      <c r="I315" s="63"/>
    </row>
    <row r="316">
      <c r="I316" s="63"/>
    </row>
    <row r="317">
      <c r="I317" s="63"/>
    </row>
    <row r="318">
      <c r="I318" s="63"/>
    </row>
    <row r="319">
      <c r="I319" s="63"/>
    </row>
    <row r="320">
      <c r="I320" s="63"/>
    </row>
    <row r="321">
      <c r="I321" s="63"/>
    </row>
    <row r="322">
      <c r="I322" s="63"/>
    </row>
    <row r="323">
      <c r="I323" s="63"/>
    </row>
    <row r="324">
      <c r="I324" s="63"/>
    </row>
    <row r="325">
      <c r="I325" s="63"/>
    </row>
    <row r="326">
      <c r="I326" s="63"/>
    </row>
    <row r="327">
      <c r="I327" s="63"/>
    </row>
    <row r="328">
      <c r="I328" s="63"/>
    </row>
    <row r="329">
      <c r="I329" s="63"/>
    </row>
    <row r="330">
      <c r="I330" s="63"/>
    </row>
    <row r="331">
      <c r="I331" s="63"/>
    </row>
    <row r="332">
      <c r="I332" s="63"/>
    </row>
    <row r="333">
      <c r="I333" s="63"/>
    </row>
    <row r="334">
      <c r="I334" s="63"/>
    </row>
    <row r="335">
      <c r="I335" s="63"/>
    </row>
    <row r="336">
      <c r="I336" s="63"/>
    </row>
    <row r="337">
      <c r="I337" s="63"/>
    </row>
    <row r="338">
      <c r="I338" s="63"/>
    </row>
    <row r="339">
      <c r="I339" s="63"/>
    </row>
    <row r="340">
      <c r="I340" s="63"/>
    </row>
    <row r="341">
      <c r="I341" s="63"/>
    </row>
    <row r="342">
      <c r="I342" s="63"/>
    </row>
    <row r="343">
      <c r="I343" s="63"/>
    </row>
    <row r="344">
      <c r="I344" s="63"/>
    </row>
    <row r="345">
      <c r="I345" s="63"/>
    </row>
    <row r="346">
      <c r="I346" s="63"/>
    </row>
    <row r="347">
      <c r="I347" s="63"/>
    </row>
    <row r="348">
      <c r="I348" s="63"/>
    </row>
    <row r="349">
      <c r="I349" s="63"/>
    </row>
    <row r="350">
      <c r="I350" s="63"/>
    </row>
    <row r="351">
      <c r="I351" s="63"/>
    </row>
    <row r="352">
      <c r="I352" s="63"/>
    </row>
    <row r="353">
      <c r="I353" s="63"/>
    </row>
    <row r="354">
      <c r="I354" s="63"/>
    </row>
    <row r="355">
      <c r="I355" s="63"/>
    </row>
    <row r="356">
      <c r="I356" s="63"/>
    </row>
    <row r="357">
      <c r="I357" s="63"/>
    </row>
    <row r="358">
      <c r="I358" s="63"/>
    </row>
    <row r="359">
      <c r="I359" s="63"/>
    </row>
    <row r="360">
      <c r="I360" s="63"/>
    </row>
    <row r="361">
      <c r="I361" s="63"/>
    </row>
    <row r="362">
      <c r="I362" s="63"/>
    </row>
    <row r="363">
      <c r="I363" s="63"/>
    </row>
    <row r="364">
      <c r="I364" s="63"/>
    </row>
    <row r="365">
      <c r="I365" s="63"/>
    </row>
    <row r="366">
      <c r="I366" s="63"/>
    </row>
    <row r="367">
      <c r="I367" s="63"/>
    </row>
    <row r="368">
      <c r="I368" s="63"/>
    </row>
    <row r="369">
      <c r="I369" s="63"/>
    </row>
    <row r="370">
      <c r="I370" s="63"/>
    </row>
    <row r="371">
      <c r="I371" s="63"/>
    </row>
    <row r="372">
      <c r="I372" s="63"/>
    </row>
    <row r="373">
      <c r="I373" s="63"/>
    </row>
    <row r="374">
      <c r="I374" s="63"/>
    </row>
    <row r="375">
      <c r="I375" s="63"/>
    </row>
    <row r="376">
      <c r="I376" s="63"/>
    </row>
    <row r="377">
      <c r="I377" s="63"/>
    </row>
    <row r="378">
      <c r="I378" s="63"/>
    </row>
    <row r="379">
      <c r="I379" s="63"/>
    </row>
    <row r="380">
      <c r="I380" s="63"/>
    </row>
    <row r="381">
      <c r="I381" s="63"/>
    </row>
    <row r="382">
      <c r="I382" s="63"/>
    </row>
    <row r="383">
      <c r="I383" s="63"/>
    </row>
    <row r="384">
      <c r="I384" s="63"/>
    </row>
    <row r="385">
      <c r="I385" s="63"/>
    </row>
    <row r="386">
      <c r="I386" s="63"/>
    </row>
    <row r="387">
      <c r="I387" s="63"/>
    </row>
    <row r="388">
      <c r="I388" s="63"/>
    </row>
    <row r="389">
      <c r="I389" s="63"/>
    </row>
    <row r="390">
      <c r="I390" s="63"/>
    </row>
    <row r="391">
      <c r="I391" s="63"/>
    </row>
    <row r="392">
      <c r="I392" s="63"/>
    </row>
    <row r="393">
      <c r="I393" s="63"/>
    </row>
    <row r="394">
      <c r="I394" s="63"/>
    </row>
    <row r="395">
      <c r="I395" s="63"/>
    </row>
    <row r="396">
      <c r="I396" s="63"/>
    </row>
    <row r="397">
      <c r="I397" s="63"/>
    </row>
    <row r="398">
      <c r="I398" s="63"/>
    </row>
    <row r="399">
      <c r="I399" s="63"/>
    </row>
    <row r="400">
      <c r="I400" s="63"/>
    </row>
    <row r="401">
      <c r="I401" s="63"/>
    </row>
    <row r="402">
      <c r="I402" s="63"/>
    </row>
    <row r="403">
      <c r="I403" s="63"/>
    </row>
    <row r="404">
      <c r="I404" s="63"/>
    </row>
    <row r="405">
      <c r="I405" s="63"/>
    </row>
    <row r="406">
      <c r="I406" s="63"/>
    </row>
    <row r="407">
      <c r="I407" s="63"/>
    </row>
    <row r="408">
      <c r="I408" s="63"/>
    </row>
    <row r="409">
      <c r="I409" s="63"/>
    </row>
    <row r="410">
      <c r="I410" s="63"/>
    </row>
    <row r="411">
      <c r="I411" s="63"/>
    </row>
    <row r="412">
      <c r="I412" s="63"/>
    </row>
    <row r="413">
      <c r="I413" s="63"/>
    </row>
    <row r="414">
      <c r="I414" s="63"/>
    </row>
    <row r="415">
      <c r="I415" s="63"/>
    </row>
    <row r="416">
      <c r="I416" s="63"/>
    </row>
    <row r="417">
      <c r="I417" s="63"/>
    </row>
    <row r="418">
      <c r="I418" s="63"/>
    </row>
    <row r="419">
      <c r="I419" s="63"/>
    </row>
    <row r="420">
      <c r="I420" s="63"/>
    </row>
    <row r="421">
      <c r="I421" s="63"/>
    </row>
    <row r="422">
      <c r="I422" s="63"/>
    </row>
    <row r="423">
      <c r="I423" s="63"/>
    </row>
    <row r="424">
      <c r="I424" s="63"/>
    </row>
    <row r="425">
      <c r="I425" s="63"/>
    </row>
    <row r="426">
      <c r="I426" s="63"/>
    </row>
    <row r="427">
      <c r="I427" s="63"/>
    </row>
    <row r="428">
      <c r="I428" s="63"/>
    </row>
    <row r="429">
      <c r="I429" s="63"/>
    </row>
    <row r="430">
      <c r="I430" s="63"/>
    </row>
    <row r="431">
      <c r="I431" s="63"/>
    </row>
    <row r="432">
      <c r="I432" s="63"/>
    </row>
    <row r="433">
      <c r="I433" s="63"/>
    </row>
    <row r="434">
      <c r="I434" s="63"/>
    </row>
    <row r="435">
      <c r="I435" s="63"/>
    </row>
    <row r="436">
      <c r="I436" s="63"/>
    </row>
    <row r="437">
      <c r="I437" s="63"/>
    </row>
    <row r="438">
      <c r="I438" s="63"/>
    </row>
    <row r="439">
      <c r="I439" s="63"/>
    </row>
    <row r="440">
      <c r="I440" s="63"/>
    </row>
    <row r="441">
      <c r="I441" s="63"/>
    </row>
    <row r="442">
      <c r="I442" s="63"/>
    </row>
    <row r="443">
      <c r="I443" s="63"/>
    </row>
    <row r="444">
      <c r="I444" s="63"/>
    </row>
    <row r="445">
      <c r="I445" s="63"/>
    </row>
    <row r="446">
      <c r="I446" s="63"/>
    </row>
    <row r="447">
      <c r="I447" s="63"/>
    </row>
    <row r="448">
      <c r="I448" s="63"/>
    </row>
    <row r="449">
      <c r="I449" s="63"/>
    </row>
    <row r="450">
      <c r="I450" s="63"/>
    </row>
    <row r="451">
      <c r="I451" s="63"/>
    </row>
    <row r="452">
      <c r="I452" s="63"/>
    </row>
    <row r="453">
      <c r="I453" s="63"/>
    </row>
    <row r="454">
      <c r="I454" s="63"/>
    </row>
    <row r="455">
      <c r="I455" s="63"/>
    </row>
    <row r="456">
      <c r="I456" s="63"/>
    </row>
    <row r="457">
      <c r="I457" s="63"/>
    </row>
    <row r="458">
      <c r="I458" s="63"/>
    </row>
    <row r="459">
      <c r="I459" s="63"/>
    </row>
    <row r="460">
      <c r="I460" s="63"/>
    </row>
    <row r="461">
      <c r="I461" s="63"/>
    </row>
    <row r="462">
      <c r="I462" s="63"/>
    </row>
    <row r="463">
      <c r="I463" s="63"/>
    </row>
    <row r="464">
      <c r="I464" s="63"/>
    </row>
    <row r="465">
      <c r="I465" s="63"/>
    </row>
    <row r="466">
      <c r="I466" s="63"/>
    </row>
    <row r="467">
      <c r="I467" s="63"/>
    </row>
    <row r="468">
      <c r="I468" s="63"/>
    </row>
    <row r="469">
      <c r="I469" s="63"/>
    </row>
    <row r="470">
      <c r="I470" s="63"/>
    </row>
    <row r="471">
      <c r="I471" s="63"/>
    </row>
    <row r="472">
      <c r="I472" s="63"/>
    </row>
    <row r="473">
      <c r="I473" s="63"/>
    </row>
    <row r="474">
      <c r="I474" s="63"/>
    </row>
    <row r="475">
      <c r="I475" s="63"/>
    </row>
    <row r="476">
      <c r="I476" s="63"/>
    </row>
    <row r="477">
      <c r="I477" s="63"/>
    </row>
    <row r="478">
      <c r="I478" s="63"/>
    </row>
    <row r="479">
      <c r="I479" s="63"/>
    </row>
    <row r="480">
      <c r="I480" s="63"/>
    </row>
    <row r="481">
      <c r="I481" s="63"/>
    </row>
    <row r="482">
      <c r="I482" s="63"/>
    </row>
    <row r="483">
      <c r="I483" s="63"/>
    </row>
    <row r="484">
      <c r="I484" s="63"/>
    </row>
    <row r="485">
      <c r="I485" s="63"/>
    </row>
    <row r="486">
      <c r="I486" s="63"/>
    </row>
    <row r="487">
      <c r="I487" s="63"/>
    </row>
    <row r="488">
      <c r="I488" s="63"/>
    </row>
    <row r="489">
      <c r="I489" s="63"/>
    </row>
    <row r="490">
      <c r="I490" s="63"/>
    </row>
    <row r="491">
      <c r="I491" s="63"/>
    </row>
    <row r="492">
      <c r="I492" s="63"/>
    </row>
    <row r="493">
      <c r="I493" s="63"/>
    </row>
    <row r="494">
      <c r="I494" s="63"/>
    </row>
    <row r="495">
      <c r="I495" s="63"/>
    </row>
    <row r="496">
      <c r="I496" s="63"/>
    </row>
    <row r="497">
      <c r="I497" s="63"/>
    </row>
    <row r="498">
      <c r="I498" s="63"/>
    </row>
    <row r="499">
      <c r="I499" s="63"/>
    </row>
    <row r="500">
      <c r="I500" s="63"/>
    </row>
    <row r="501">
      <c r="I501" s="63"/>
    </row>
    <row r="502">
      <c r="I502" s="63"/>
    </row>
    <row r="503">
      <c r="I503" s="63"/>
    </row>
    <row r="504">
      <c r="I504" s="63"/>
    </row>
    <row r="505">
      <c r="I505" s="63"/>
    </row>
    <row r="506">
      <c r="I506" s="63"/>
    </row>
    <row r="507">
      <c r="I507" s="63"/>
    </row>
    <row r="508">
      <c r="I508" s="63"/>
    </row>
    <row r="509">
      <c r="I509" s="63"/>
    </row>
    <row r="510">
      <c r="I510" s="63"/>
    </row>
    <row r="511">
      <c r="I511" s="63"/>
    </row>
    <row r="512">
      <c r="I512" s="63"/>
    </row>
    <row r="513">
      <c r="I513" s="63"/>
    </row>
    <row r="514">
      <c r="I514" s="63"/>
    </row>
    <row r="515">
      <c r="I515" s="63"/>
    </row>
    <row r="516">
      <c r="I516" s="63"/>
    </row>
    <row r="517">
      <c r="I517" s="63"/>
    </row>
    <row r="518">
      <c r="I518" s="63"/>
    </row>
    <row r="519">
      <c r="I519" s="63"/>
    </row>
    <row r="520">
      <c r="I520" s="63"/>
    </row>
    <row r="521">
      <c r="I521" s="63"/>
    </row>
    <row r="522">
      <c r="I522" s="63"/>
    </row>
    <row r="523">
      <c r="I523" s="63"/>
    </row>
    <row r="524">
      <c r="I524" s="63"/>
    </row>
    <row r="525">
      <c r="I525" s="63"/>
    </row>
    <row r="526">
      <c r="I526" s="63"/>
    </row>
    <row r="527">
      <c r="I527" s="63"/>
    </row>
    <row r="528">
      <c r="I528" s="63"/>
    </row>
    <row r="529">
      <c r="I529" s="63"/>
    </row>
    <row r="530">
      <c r="I530" s="63"/>
    </row>
    <row r="531">
      <c r="I531" s="63"/>
    </row>
    <row r="532">
      <c r="I532" s="63"/>
    </row>
    <row r="533">
      <c r="I533" s="63"/>
    </row>
    <row r="534">
      <c r="I534" s="63"/>
    </row>
    <row r="535">
      <c r="I535" s="63"/>
    </row>
    <row r="536">
      <c r="I536" s="63"/>
    </row>
    <row r="537">
      <c r="I537" s="63"/>
    </row>
    <row r="538">
      <c r="I538" s="63"/>
    </row>
    <row r="539">
      <c r="I539" s="63"/>
    </row>
    <row r="540">
      <c r="I540" s="63"/>
    </row>
    <row r="541">
      <c r="I541" s="63"/>
    </row>
    <row r="542">
      <c r="I542" s="63"/>
    </row>
    <row r="543">
      <c r="I543" s="63"/>
    </row>
    <row r="544">
      <c r="I544" s="63"/>
    </row>
    <row r="545">
      <c r="I545" s="63"/>
    </row>
    <row r="546">
      <c r="I546" s="63"/>
    </row>
    <row r="547">
      <c r="I547" s="63"/>
    </row>
    <row r="548">
      <c r="I548" s="63"/>
    </row>
    <row r="549">
      <c r="I549" s="63"/>
    </row>
    <row r="550">
      <c r="I550" s="63"/>
    </row>
    <row r="551">
      <c r="I551" s="63"/>
    </row>
    <row r="552">
      <c r="I552" s="63"/>
    </row>
    <row r="553">
      <c r="I553" s="63"/>
    </row>
    <row r="554">
      <c r="I554" s="63"/>
    </row>
    <row r="555">
      <c r="I555" s="63"/>
    </row>
    <row r="556">
      <c r="I556" s="63"/>
    </row>
    <row r="557">
      <c r="I557" s="63"/>
    </row>
    <row r="558">
      <c r="I558" s="63"/>
    </row>
    <row r="559">
      <c r="I559" s="63"/>
    </row>
    <row r="560">
      <c r="I560" s="63"/>
    </row>
    <row r="561">
      <c r="I561" s="63"/>
    </row>
    <row r="562">
      <c r="I562" s="63"/>
    </row>
    <row r="563">
      <c r="I563" s="63"/>
    </row>
    <row r="564">
      <c r="I564" s="63"/>
    </row>
    <row r="565">
      <c r="I565" s="63"/>
    </row>
    <row r="566">
      <c r="I566" s="63"/>
    </row>
    <row r="567">
      <c r="I567" s="63"/>
    </row>
    <row r="568">
      <c r="I568" s="63"/>
    </row>
    <row r="569">
      <c r="I569" s="63"/>
    </row>
    <row r="570">
      <c r="I570" s="63"/>
    </row>
    <row r="571">
      <c r="I571" s="63"/>
    </row>
    <row r="572">
      <c r="I572" s="63"/>
    </row>
    <row r="573">
      <c r="I573" s="63"/>
    </row>
    <row r="574">
      <c r="I574" s="63"/>
    </row>
    <row r="575">
      <c r="I575" s="63"/>
    </row>
    <row r="576">
      <c r="I576" s="63"/>
    </row>
    <row r="577">
      <c r="I577" s="63"/>
    </row>
    <row r="578">
      <c r="I578" s="63"/>
    </row>
    <row r="579">
      <c r="I579" s="63"/>
    </row>
    <row r="580">
      <c r="I580" s="63"/>
    </row>
    <row r="581">
      <c r="I581" s="63"/>
    </row>
    <row r="582">
      <c r="I582" s="63"/>
    </row>
    <row r="583">
      <c r="I583" s="63"/>
    </row>
    <row r="584">
      <c r="I584" s="63"/>
    </row>
    <row r="585">
      <c r="I585" s="63"/>
    </row>
    <row r="586">
      <c r="I586" s="63"/>
    </row>
    <row r="587">
      <c r="I587" s="63"/>
    </row>
    <row r="588">
      <c r="I588" s="63"/>
    </row>
    <row r="589">
      <c r="I589" s="63"/>
    </row>
    <row r="590">
      <c r="I590" s="63"/>
    </row>
    <row r="591">
      <c r="I591" s="63"/>
    </row>
    <row r="592">
      <c r="I592" s="63"/>
    </row>
    <row r="593">
      <c r="I593" s="63"/>
    </row>
    <row r="594">
      <c r="I594" s="63"/>
    </row>
    <row r="595">
      <c r="I595" s="63"/>
    </row>
    <row r="596">
      <c r="I596" s="63"/>
    </row>
    <row r="597">
      <c r="I597" s="63"/>
    </row>
    <row r="598">
      <c r="I598" s="63"/>
    </row>
    <row r="599">
      <c r="I599" s="63"/>
    </row>
    <row r="600">
      <c r="I600" s="63"/>
    </row>
    <row r="601">
      <c r="I601" s="63"/>
    </row>
    <row r="602">
      <c r="I602" s="63"/>
    </row>
    <row r="603">
      <c r="I603" s="63"/>
    </row>
    <row r="604">
      <c r="I604" s="63"/>
    </row>
    <row r="605">
      <c r="I605" s="63"/>
    </row>
    <row r="606">
      <c r="I606" s="63"/>
    </row>
    <row r="607">
      <c r="I607" s="63"/>
    </row>
    <row r="608">
      <c r="I608" s="63"/>
    </row>
    <row r="609">
      <c r="I609" s="63"/>
    </row>
    <row r="610">
      <c r="I610" s="63"/>
    </row>
    <row r="611">
      <c r="I611" s="63"/>
    </row>
    <row r="612">
      <c r="I612" s="63"/>
    </row>
    <row r="613">
      <c r="I613" s="63"/>
    </row>
    <row r="614">
      <c r="I614" s="63"/>
    </row>
    <row r="615">
      <c r="I615" s="63"/>
    </row>
    <row r="616">
      <c r="I616" s="63"/>
    </row>
    <row r="617">
      <c r="I617" s="63"/>
    </row>
    <row r="618">
      <c r="I618" s="63"/>
    </row>
    <row r="619">
      <c r="I619" s="63"/>
    </row>
    <row r="620">
      <c r="I620" s="63"/>
    </row>
    <row r="621">
      <c r="I621" s="63"/>
    </row>
    <row r="622">
      <c r="I622" s="63"/>
    </row>
    <row r="623">
      <c r="I623" s="63"/>
    </row>
    <row r="624">
      <c r="I624" s="63"/>
    </row>
    <row r="625">
      <c r="I625" s="63"/>
    </row>
    <row r="626">
      <c r="I626" s="63"/>
    </row>
    <row r="627">
      <c r="I627" s="63"/>
    </row>
    <row r="628">
      <c r="I628" s="63"/>
    </row>
    <row r="629">
      <c r="I629" s="63"/>
    </row>
    <row r="630">
      <c r="I630" s="63"/>
    </row>
    <row r="631">
      <c r="I631" s="63"/>
    </row>
    <row r="632">
      <c r="I632" s="63"/>
    </row>
    <row r="633">
      <c r="I633" s="63"/>
    </row>
    <row r="634">
      <c r="I634" s="63"/>
    </row>
    <row r="635">
      <c r="I635" s="63"/>
    </row>
    <row r="636">
      <c r="I636" s="63"/>
    </row>
    <row r="637">
      <c r="I637" s="63"/>
    </row>
    <row r="638">
      <c r="I638" s="63"/>
    </row>
    <row r="639">
      <c r="I639" s="63"/>
    </row>
    <row r="640">
      <c r="I640" s="63"/>
    </row>
    <row r="641">
      <c r="I641" s="63"/>
    </row>
    <row r="642">
      <c r="I642" s="63"/>
    </row>
    <row r="643">
      <c r="I643" s="63"/>
    </row>
    <row r="644">
      <c r="I644" s="63"/>
    </row>
    <row r="645">
      <c r="I645" s="63"/>
    </row>
    <row r="646">
      <c r="I646" s="63"/>
    </row>
    <row r="647">
      <c r="I647" s="63"/>
    </row>
    <row r="648">
      <c r="I648" s="63"/>
    </row>
    <row r="649">
      <c r="I649" s="63"/>
    </row>
    <row r="650">
      <c r="I650" s="63"/>
    </row>
    <row r="651">
      <c r="I651" s="63"/>
    </row>
    <row r="652">
      <c r="I652" s="63"/>
    </row>
    <row r="653">
      <c r="I653" s="63"/>
    </row>
    <row r="654">
      <c r="I654" s="63"/>
    </row>
    <row r="655">
      <c r="I655" s="63"/>
    </row>
    <row r="656">
      <c r="I656" s="63"/>
    </row>
    <row r="657">
      <c r="I657" s="63"/>
    </row>
    <row r="658">
      <c r="I658" s="63"/>
    </row>
    <row r="659">
      <c r="I659" s="63"/>
    </row>
    <row r="660">
      <c r="I660" s="63"/>
    </row>
    <row r="661">
      <c r="I661" s="63"/>
    </row>
    <row r="662">
      <c r="I662" s="63"/>
    </row>
    <row r="663">
      <c r="I663" s="63"/>
    </row>
    <row r="664">
      <c r="I664" s="63"/>
    </row>
    <row r="665">
      <c r="I665" s="63"/>
    </row>
    <row r="666">
      <c r="I666" s="63"/>
    </row>
    <row r="667">
      <c r="I667" s="63"/>
    </row>
    <row r="668">
      <c r="I668" s="63"/>
    </row>
    <row r="669">
      <c r="I669" s="63"/>
    </row>
    <row r="670">
      <c r="I670" s="63"/>
    </row>
    <row r="671">
      <c r="I671" s="63"/>
    </row>
    <row r="672">
      <c r="I672" s="63"/>
    </row>
    <row r="673">
      <c r="I673" s="63"/>
    </row>
    <row r="674">
      <c r="I674" s="63"/>
    </row>
    <row r="675">
      <c r="I675" s="63"/>
    </row>
    <row r="676">
      <c r="I676" s="63"/>
    </row>
    <row r="677">
      <c r="I677" s="63"/>
    </row>
    <row r="678">
      <c r="I678" s="63"/>
    </row>
    <row r="679">
      <c r="I679" s="63"/>
    </row>
    <row r="680">
      <c r="I680" s="63"/>
    </row>
    <row r="681">
      <c r="I681" s="63"/>
    </row>
    <row r="682">
      <c r="I682" s="63"/>
    </row>
    <row r="683">
      <c r="I683" s="63"/>
    </row>
    <row r="684">
      <c r="I684" s="63"/>
    </row>
    <row r="685">
      <c r="I685" s="63"/>
    </row>
    <row r="686">
      <c r="I686" s="63"/>
    </row>
    <row r="687">
      <c r="I687" s="63"/>
    </row>
    <row r="688">
      <c r="I688" s="63"/>
    </row>
    <row r="689">
      <c r="I689" s="63"/>
    </row>
    <row r="690">
      <c r="I690" s="63"/>
    </row>
    <row r="691">
      <c r="I691" s="63"/>
    </row>
    <row r="692">
      <c r="I692" s="63"/>
    </row>
    <row r="693">
      <c r="I693" s="63"/>
    </row>
    <row r="694">
      <c r="I694" s="63"/>
    </row>
    <row r="695">
      <c r="I695" s="63"/>
    </row>
    <row r="696">
      <c r="I696" s="63"/>
    </row>
    <row r="697">
      <c r="I697" s="63"/>
    </row>
    <row r="698">
      <c r="I698" s="63"/>
    </row>
    <row r="699">
      <c r="I699" s="63"/>
    </row>
    <row r="700">
      <c r="I700" s="63"/>
    </row>
    <row r="701">
      <c r="I701" s="63"/>
    </row>
    <row r="702">
      <c r="I702" s="63"/>
    </row>
    <row r="703">
      <c r="I703" s="63"/>
    </row>
    <row r="704">
      <c r="I704" s="63"/>
    </row>
    <row r="705">
      <c r="I705" s="63"/>
    </row>
    <row r="706">
      <c r="I706" s="63"/>
    </row>
    <row r="707">
      <c r="I707" s="63"/>
    </row>
    <row r="708">
      <c r="I708" s="63"/>
    </row>
    <row r="709">
      <c r="I709" s="63"/>
    </row>
    <row r="710">
      <c r="I710" s="63"/>
    </row>
    <row r="711">
      <c r="I711" s="63"/>
    </row>
    <row r="712">
      <c r="I712" s="63"/>
    </row>
    <row r="713">
      <c r="I713" s="63"/>
    </row>
    <row r="714">
      <c r="I714" s="63"/>
    </row>
    <row r="715">
      <c r="I715" s="63"/>
    </row>
    <row r="716">
      <c r="I716" s="63"/>
    </row>
    <row r="717">
      <c r="I717" s="63"/>
    </row>
    <row r="718">
      <c r="I718" s="63"/>
    </row>
    <row r="719">
      <c r="I719" s="63"/>
    </row>
    <row r="720">
      <c r="I720" s="63"/>
    </row>
    <row r="721">
      <c r="I721" s="63"/>
    </row>
    <row r="722">
      <c r="I722" s="63"/>
    </row>
    <row r="723">
      <c r="I723" s="63"/>
    </row>
    <row r="724">
      <c r="I724" s="63"/>
    </row>
    <row r="725">
      <c r="I725" s="63"/>
    </row>
    <row r="726">
      <c r="I726" s="63"/>
    </row>
    <row r="727">
      <c r="I727" s="63"/>
    </row>
    <row r="728">
      <c r="I728" s="63"/>
    </row>
    <row r="729">
      <c r="I729" s="63"/>
    </row>
    <row r="730">
      <c r="I730" s="63"/>
    </row>
    <row r="731">
      <c r="I731" s="63"/>
    </row>
    <row r="732">
      <c r="I732" s="63"/>
    </row>
    <row r="733">
      <c r="I733" s="63"/>
    </row>
    <row r="734">
      <c r="I734" s="63"/>
    </row>
    <row r="735">
      <c r="I735" s="63"/>
    </row>
    <row r="736">
      <c r="I736" s="63"/>
    </row>
    <row r="737">
      <c r="I737" s="63"/>
    </row>
    <row r="738">
      <c r="I738" s="63"/>
    </row>
    <row r="739">
      <c r="I739" s="63"/>
    </row>
    <row r="740">
      <c r="I740" s="63"/>
    </row>
    <row r="741">
      <c r="I741" s="63"/>
    </row>
    <row r="742">
      <c r="I742" s="63"/>
    </row>
    <row r="743">
      <c r="I743" s="63"/>
    </row>
    <row r="744">
      <c r="I744" s="63"/>
    </row>
    <row r="745">
      <c r="I745" s="63"/>
    </row>
    <row r="746">
      <c r="I746" s="63"/>
    </row>
    <row r="747">
      <c r="I747" s="63"/>
    </row>
    <row r="748">
      <c r="I748" s="63"/>
    </row>
    <row r="749">
      <c r="I749" s="63"/>
    </row>
    <row r="750">
      <c r="I750" s="63"/>
    </row>
    <row r="751">
      <c r="I751" s="63"/>
    </row>
    <row r="752">
      <c r="I752" s="63"/>
    </row>
    <row r="753">
      <c r="I753" s="63"/>
    </row>
    <row r="754">
      <c r="I754" s="63"/>
    </row>
    <row r="755">
      <c r="I755" s="63"/>
    </row>
    <row r="756">
      <c r="I756" s="63"/>
    </row>
    <row r="757">
      <c r="I757" s="63"/>
    </row>
    <row r="758">
      <c r="I758" s="63"/>
    </row>
    <row r="759">
      <c r="I759" s="63"/>
    </row>
    <row r="760">
      <c r="I760" s="63"/>
    </row>
    <row r="761">
      <c r="I761" s="63"/>
    </row>
    <row r="762">
      <c r="I762" s="63"/>
    </row>
    <row r="763">
      <c r="I763" s="63"/>
    </row>
    <row r="764">
      <c r="I764" s="63"/>
    </row>
    <row r="765">
      <c r="I765" s="63"/>
    </row>
    <row r="766">
      <c r="I766" s="63"/>
    </row>
    <row r="767">
      <c r="I767" s="63"/>
    </row>
    <row r="768">
      <c r="I768" s="63"/>
    </row>
    <row r="769">
      <c r="I769" s="63"/>
    </row>
    <row r="770">
      <c r="I770" s="63"/>
    </row>
    <row r="771">
      <c r="I771" s="63"/>
    </row>
    <row r="772">
      <c r="I772" s="63"/>
    </row>
    <row r="773">
      <c r="I773" s="63"/>
    </row>
    <row r="774">
      <c r="I774" s="63"/>
    </row>
    <row r="775">
      <c r="I775" s="63"/>
    </row>
    <row r="776">
      <c r="I776" s="63"/>
    </row>
    <row r="777">
      <c r="I777" s="63"/>
    </row>
    <row r="778">
      <c r="I778" s="63"/>
    </row>
    <row r="779">
      <c r="I779" s="63"/>
    </row>
    <row r="780">
      <c r="I780" s="63"/>
    </row>
    <row r="781">
      <c r="I781" s="63"/>
    </row>
    <row r="782">
      <c r="I782" s="63"/>
    </row>
    <row r="783">
      <c r="I783" s="63"/>
    </row>
    <row r="784">
      <c r="I784" s="63"/>
    </row>
    <row r="785">
      <c r="I785" s="63"/>
    </row>
    <row r="786">
      <c r="I786" s="63"/>
    </row>
    <row r="787">
      <c r="I787" s="63"/>
    </row>
    <row r="788">
      <c r="I788" s="63"/>
    </row>
    <row r="789">
      <c r="I789" s="63"/>
    </row>
    <row r="790">
      <c r="I790" s="63"/>
    </row>
    <row r="791">
      <c r="I791" s="63"/>
    </row>
    <row r="792">
      <c r="I792" s="63"/>
    </row>
    <row r="793">
      <c r="I793" s="63"/>
    </row>
    <row r="794">
      <c r="I794" s="63"/>
    </row>
    <row r="795">
      <c r="I795" s="63"/>
    </row>
    <row r="796">
      <c r="I796" s="63"/>
    </row>
    <row r="797">
      <c r="I797" s="63"/>
    </row>
    <row r="798">
      <c r="I798" s="63"/>
    </row>
    <row r="799">
      <c r="I799" s="63"/>
    </row>
    <row r="800">
      <c r="I800" s="63"/>
    </row>
    <row r="801">
      <c r="I801" s="63"/>
    </row>
    <row r="802">
      <c r="I802" s="63"/>
    </row>
    <row r="803">
      <c r="I803" s="63"/>
    </row>
    <row r="804">
      <c r="I804" s="63"/>
    </row>
    <row r="805">
      <c r="I805" s="63"/>
    </row>
    <row r="806">
      <c r="I806" s="63"/>
    </row>
    <row r="807">
      <c r="I807" s="63"/>
    </row>
    <row r="808">
      <c r="I808" s="63"/>
    </row>
    <row r="809">
      <c r="I809" s="63"/>
    </row>
    <row r="810">
      <c r="I810" s="63"/>
    </row>
    <row r="811">
      <c r="I811" s="63"/>
    </row>
    <row r="812">
      <c r="I812" s="63"/>
    </row>
    <row r="813">
      <c r="I813" s="63"/>
    </row>
    <row r="814">
      <c r="I814" s="63"/>
    </row>
    <row r="815">
      <c r="I815" s="63"/>
    </row>
    <row r="816">
      <c r="I816" s="63"/>
    </row>
    <row r="817">
      <c r="I817" s="63"/>
    </row>
    <row r="818">
      <c r="I818" s="63"/>
    </row>
    <row r="819">
      <c r="I819" s="63"/>
    </row>
    <row r="820">
      <c r="I820" s="63"/>
    </row>
    <row r="821">
      <c r="I821" s="63"/>
    </row>
    <row r="822">
      <c r="I822" s="63"/>
    </row>
    <row r="823">
      <c r="I823" s="63"/>
    </row>
    <row r="824">
      <c r="I824" s="63"/>
    </row>
    <row r="825">
      <c r="I825" s="63"/>
    </row>
    <row r="826">
      <c r="I826" s="63"/>
    </row>
    <row r="827">
      <c r="I827" s="63"/>
    </row>
    <row r="828">
      <c r="I828" s="63"/>
    </row>
    <row r="829">
      <c r="I829" s="63"/>
    </row>
    <row r="830">
      <c r="I830" s="63"/>
    </row>
    <row r="831">
      <c r="I831" s="63"/>
    </row>
    <row r="832">
      <c r="I832" s="63"/>
    </row>
    <row r="833">
      <c r="I833" s="63"/>
    </row>
    <row r="834">
      <c r="I834" s="63"/>
    </row>
    <row r="835">
      <c r="I835" s="63"/>
    </row>
    <row r="836">
      <c r="I836" s="63"/>
    </row>
    <row r="837">
      <c r="I837" s="63"/>
    </row>
    <row r="838">
      <c r="I838" s="63"/>
    </row>
    <row r="839">
      <c r="I839" s="63"/>
    </row>
    <row r="840">
      <c r="I840" s="63"/>
    </row>
    <row r="841">
      <c r="I841" s="63"/>
    </row>
    <row r="842">
      <c r="I842" s="63"/>
    </row>
    <row r="843">
      <c r="I843" s="63"/>
    </row>
    <row r="844">
      <c r="I844" s="63"/>
    </row>
    <row r="845">
      <c r="I845" s="63"/>
    </row>
    <row r="846">
      <c r="I846" s="63"/>
    </row>
    <row r="847">
      <c r="I847" s="63"/>
    </row>
    <row r="848">
      <c r="I848" s="63"/>
    </row>
    <row r="849">
      <c r="I849" s="63"/>
    </row>
    <row r="850">
      <c r="I850" s="63"/>
    </row>
    <row r="851">
      <c r="I851" s="63"/>
    </row>
    <row r="852">
      <c r="I852" s="63"/>
    </row>
    <row r="853">
      <c r="I853" s="63"/>
    </row>
    <row r="854">
      <c r="I854" s="63"/>
    </row>
    <row r="855">
      <c r="I855" s="63"/>
    </row>
    <row r="856">
      <c r="I856" s="63"/>
    </row>
    <row r="857">
      <c r="I857" s="63"/>
    </row>
    <row r="858">
      <c r="I858" s="63"/>
    </row>
    <row r="859">
      <c r="I859" s="63"/>
    </row>
    <row r="860">
      <c r="I860" s="63"/>
    </row>
    <row r="861">
      <c r="I861" s="63"/>
    </row>
    <row r="862">
      <c r="I862" s="63"/>
    </row>
    <row r="863">
      <c r="I863" s="63"/>
    </row>
    <row r="864">
      <c r="I864" s="63"/>
    </row>
    <row r="865">
      <c r="I865" s="63"/>
    </row>
    <row r="866">
      <c r="I866" s="63"/>
    </row>
    <row r="867">
      <c r="I867" s="63"/>
    </row>
    <row r="868">
      <c r="I868" s="63"/>
    </row>
    <row r="869">
      <c r="I869" s="63"/>
    </row>
    <row r="870">
      <c r="I870" s="63"/>
    </row>
    <row r="871">
      <c r="I871" s="63"/>
    </row>
    <row r="872">
      <c r="I872" s="63"/>
    </row>
    <row r="873">
      <c r="I873" s="63"/>
    </row>
    <row r="874">
      <c r="I874" s="63"/>
    </row>
    <row r="875">
      <c r="I875" s="63"/>
    </row>
    <row r="876">
      <c r="I876" s="63"/>
    </row>
    <row r="877">
      <c r="I877" s="63"/>
    </row>
    <row r="878">
      <c r="I878" s="63"/>
    </row>
    <row r="879">
      <c r="I879" s="63"/>
    </row>
    <row r="880">
      <c r="I880" s="63"/>
    </row>
    <row r="881">
      <c r="I881" s="63"/>
    </row>
    <row r="882">
      <c r="I882" s="63"/>
    </row>
    <row r="883">
      <c r="I883" s="63"/>
    </row>
    <row r="884">
      <c r="I884" s="63"/>
    </row>
    <row r="885">
      <c r="I885" s="63"/>
    </row>
    <row r="886">
      <c r="I886" s="63"/>
    </row>
    <row r="887">
      <c r="I887" s="63"/>
    </row>
    <row r="888">
      <c r="I888" s="63"/>
    </row>
    <row r="889">
      <c r="I889" s="63"/>
    </row>
    <row r="890">
      <c r="I890" s="63"/>
    </row>
    <row r="891">
      <c r="I891" s="63"/>
    </row>
    <row r="892">
      <c r="I892" s="63"/>
    </row>
    <row r="893">
      <c r="I893" s="63"/>
    </row>
    <row r="894">
      <c r="I894" s="63"/>
    </row>
    <row r="895">
      <c r="I895" s="63"/>
    </row>
    <row r="896">
      <c r="I896" s="63"/>
    </row>
    <row r="897">
      <c r="I897" s="63"/>
    </row>
    <row r="898">
      <c r="I898" s="63"/>
    </row>
    <row r="899">
      <c r="I899" s="63"/>
    </row>
    <row r="900">
      <c r="I900" s="63"/>
    </row>
    <row r="901">
      <c r="I901" s="63"/>
    </row>
    <row r="902">
      <c r="I902" s="63"/>
    </row>
    <row r="903">
      <c r="I903" s="63"/>
    </row>
    <row r="904">
      <c r="I904" s="63"/>
    </row>
    <row r="905">
      <c r="I905" s="63"/>
    </row>
    <row r="906">
      <c r="I906" s="63"/>
    </row>
    <row r="907">
      <c r="I907" s="63"/>
    </row>
    <row r="908">
      <c r="I908" s="63"/>
    </row>
    <row r="909">
      <c r="I909" s="63"/>
    </row>
    <row r="910">
      <c r="I910" s="63"/>
    </row>
    <row r="911">
      <c r="I911" s="63"/>
    </row>
    <row r="912">
      <c r="I912" s="63"/>
    </row>
    <row r="913">
      <c r="I913" s="63"/>
    </row>
    <row r="914">
      <c r="I914" s="63"/>
    </row>
    <row r="915">
      <c r="I915" s="63"/>
    </row>
    <row r="916">
      <c r="I916" s="63"/>
    </row>
    <row r="917">
      <c r="I917" s="63"/>
    </row>
    <row r="918">
      <c r="I918" s="63"/>
    </row>
    <row r="919">
      <c r="I919" s="63"/>
    </row>
    <row r="920">
      <c r="I920" s="63"/>
    </row>
    <row r="921">
      <c r="I921" s="63"/>
    </row>
    <row r="922">
      <c r="I922" s="63"/>
    </row>
    <row r="923">
      <c r="I923" s="63"/>
    </row>
    <row r="924">
      <c r="I924" s="63"/>
    </row>
    <row r="925">
      <c r="I925" s="63"/>
    </row>
    <row r="926">
      <c r="I926" s="63"/>
    </row>
    <row r="927">
      <c r="I927" s="63"/>
    </row>
    <row r="928">
      <c r="I928" s="63"/>
    </row>
    <row r="929">
      <c r="I929" s="63"/>
    </row>
    <row r="930">
      <c r="I930" s="63"/>
    </row>
    <row r="931">
      <c r="I931" s="63"/>
    </row>
    <row r="932">
      <c r="I932" s="63"/>
    </row>
    <row r="933">
      <c r="I933" s="63"/>
    </row>
    <row r="934">
      <c r="I934" s="63"/>
    </row>
    <row r="935">
      <c r="I935" s="63"/>
    </row>
    <row r="936">
      <c r="I936" s="63"/>
    </row>
    <row r="937">
      <c r="I937" s="63"/>
    </row>
    <row r="938">
      <c r="I938" s="63"/>
    </row>
    <row r="939">
      <c r="I939" s="63"/>
    </row>
    <row r="940">
      <c r="I940" s="63"/>
    </row>
    <row r="941">
      <c r="I941" s="63"/>
    </row>
    <row r="942">
      <c r="I942" s="63"/>
    </row>
    <row r="943">
      <c r="I943" s="63"/>
    </row>
    <row r="944">
      <c r="I944" s="63"/>
    </row>
    <row r="945">
      <c r="I945" s="63"/>
    </row>
    <row r="946">
      <c r="I946" s="63"/>
    </row>
    <row r="947">
      <c r="I947" s="63"/>
    </row>
    <row r="948">
      <c r="I948" s="63"/>
    </row>
    <row r="949">
      <c r="I949" s="63"/>
    </row>
    <row r="950">
      <c r="I950" s="63"/>
    </row>
    <row r="951">
      <c r="I951" s="63"/>
    </row>
    <row r="952">
      <c r="I952" s="63"/>
    </row>
    <row r="953">
      <c r="I953" s="63"/>
    </row>
    <row r="954">
      <c r="I954" s="63"/>
    </row>
    <row r="955">
      <c r="I955" s="63"/>
    </row>
    <row r="956">
      <c r="I956" s="63"/>
    </row>
    <row r="957">
      <c r="I957" s="63"/>
    </row>
    <row r="958">
      <c r="I958" s="63"/>
    </row>
    <row r="959">
      <c r="I959" s="63"/>
    </row>
    <row r="960">
      <c r="I960" s="63"/>
    </row>
    <row r="961">
      <c r="I961" s="63"/>
    </row>
    <row r="962">
      <c r="I962" s="63"/>
    </row>
    <row r="963">
      <c r="I963" s="63"/>
    </row>
    <row r="964">
      <c r="I964" s="63"/>
    </row>
    <row r="965">
      <c r="I965" s="63"/>
    </row>
    <row r="966">
      <c r="I966" s="63"/>
    </row>
    <row r="967">
      <c r="I967" s="63"/>
    </row>
    <row r="968">
      <c r="I968" s="63"/>
    </row>
    <row r="969">
      <c r="I969" s="63"/>
    </row>
    <row r="970">
      <c r="I970" s="63"/>
    </row>
    <row r="971">
      <c r="I971" s="63"/>
    </row>
    <row r="972">
      <c r="I972" s="63"/>
    </row>
    <row r="973">
      <c r="I973" s="63"/>
    </row>
    <row r="974">
      <c r="I974" s="63"/>
    </row>
    <row r="975">
      <c r="I975" s="63"/>
    </row>
    <row r="976">
      <c r="I976" s="63"/>
    </row>
    <row r="977">
      <c r="I977" s="63"/>
    </row>
    <row r="978">
      <c r="I978" s="63"/>
    </row>
    <row r="979">
      <c r="I979" s="63"/>
    </row>
    <row r="980">
      <c r="I980" s="63"/>
    </row>
    <row r="981">
      <c r="I981" s="63"/>
    </row>
    <row r="982">
      <c r="I982" s="63"/>
    </row>
    <row r="983">
      <c r="I983" s="63"/>
    </row>
    <row r="984">
      <c r="I984" s="63"/>
    </row>
    <row r="985">
      <c r="I985" s="63"/>
    </row>
    <row r="986">
      <c r="I986" s="63"/>
    </row>
    <row r="987">
      <c r="I987" s="63"/>
    </row>
    <row r="988">
      <c r="I988" s="63"/>
    </row>
    <row r="989">
      <c r="I989" s="63"/>
    </row>
    <row r="990">
      <c r="I990" s="63"/>
    </row>
    <row r="991">
      <c r="I991" s="63"/>
    </row>
    <row r="992">
      <c r="I992" s="63"/>
    </row>
    <row r="993">
      <c r="I993" s="63"/>
    </row>
    <row r="994">
      <c r="I994" s="63"/>
    </row>
    <row r="995">
      <c r="I995" s="63"/>
    </row>
    <row r="996">
      <c r="I996" s="63"/>
    </row>
    <row r="997">
      <c r="I997" s="63"/>
    </row>
    <row r="998">
      <c r="I998" s="63"/>
    </row>
    <row r="999">
      <c r="I999" s="63"/>
    </row>
    <row r="1000">
      <c r="I1000" s="6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I1" s="63"/>
    </row>
    <row r="2">
      <c r="I2" s="63"/>
    </row>
    <row r="3">
      <c r="I3" s="63"/>
    </row>
    <row r="4">
      <c r="I4" s="63"/>
    </row>
    <row r="5">
      <c r="I5" s="63"/>
    </row>
    <row r="6">
      <c r="I6" s="63"/>
    </row>
    <row r="7">
      <c r="I7" s="63"/>
    </row>
    <row r="8">
      <c r="I8" s="63"/>
    </row>
    <row r="9">
      <c r="I9" s="63"/>
    </row>
    <row r="10">
      <c r="I10" s="63"/>
    </row>
    <row r="11">
      <c r="I11" s="63"/>
    </row>
    <row r="12">
      <c r="I12" s="63"/>
    </row>
    <row r="13">
      <c r="I13" s="63"/>
    </row>
    <row r="14">
      <c r="I14" s="63"/>
    </row>
    <row r="15">
      <c r="I15" s="63"/>
    </row>
    <row r="16">
      <c r="I16" s="63"/>
    </row>
    <row r="17">
      <c r="I17" s="63"/>
    </row>
    <row r="18">
      <c r="I18" s="63"/>
    </row>
    <row r="19">
      <c r="I19" s="63"/>
    </row>
    <row r="20">
      <c r="I20" s="63"/>
    </row>
    <row r="21">
      <c r="I21" s="63"/>
    </row>
    <row r="22">
      <c r="I22" s="63"/>
    </row>
    <row r="23">
      <c r="I23" s="63"/>
    </row>
    <row r="24">
      <c r="I24" s="63"/>
    </row>
    <row r="25">
      <c r="I25" s="63"/>
    </row>
    <row r="26">
      <c r="I26" s="63"/>
    </row>
    <row r="27">
      <c r="A27" s="51" t="s">
        <v>54</v>
      </c>
      <c r="I27" s="63"/>
    </row>
    <row r="28">
      <c r="A28" s="51" t="s">
        <v>55</v>
      </c>
      <c r="I28" s="63"/>
    </row>
    <row r="29">
      <c r="I29" s="63"/>
    </row>
    <row r="30">
      <c r="A30" s="52" t="s">
        <v>83</v>
      </c>
      <c r="I30" s="63"/>
    </row>
    <row r="31">
      <c r="A31" s="51" t="s">
        <v>90</v>
      </c>
      <c r="I31" s="63"/>
    </row>
    <row r="32">
      <c r="I32" s="63"/>
    </row>
    <row r="33">
      <c r="I33" s="63"/>
    </row>
    <row r="34">
      <c r="I34" s="63"/>
    </row>
    <row r="35">
      <c r="I35" s="63"/>
    </row>
    <row r="36">
      <c r="I36" s="63"/>
    </row>
    <row r="37">
      <c r="I37" s="63"/>
    </row>
    <row r="38">
      <c r="I38" s="63"/>
    </row>
    <row r="39">
      <c r="I39" s="63"/>
    </row>
    <row r="40">
      <c r="I40" s="63"/>
    </row>
    <row r="41">
      <c r="I41" s="63"/>
    </row>
    <row r="42">
      <c r="I42" s="63"/>
    </row>
    <row r="43">
      <c r="I43" s="63"/>
    </row>
    <row r="44">
      <c r="I44" s="63"/>
    </row>
    <row r="45">
      <c r="I45" s="63"/>
    </row>
    <row r="46">
      <c r="I46" s="63"/>
    </row>
    <row r="47">
      <c r="I47" s="63"/>
    </row>
    <row r="48">
      <c r="I48" s="63"/>
    </row>
    <row r="49">
      <c r="I49" s="63"/>
    </row>
    <row r="50">
      <c r="I50" s="63"/>
    </row>
    <row r="51">
      <c r="I51" s="63"/>
    </row>
    <row r="52">
      <c r="I52" s="63"/>
    </row>
    <row r="53">
      <c r="I53" s="63"/>
    </row>
    <row r="54">
      <c r="I54" s="63"/>
    </row>
    <row r="55">
      <c r="I55" s="63"/>
    </row>
    <row r="56">
      <c r="I56" s="63"/>
    </row>
    <row r="57">
      <c r="I57" s="63"/>
    </row>
    <row r="58">
      <c r="I58" s="63"/>
    </row>
    <row r="59">
      <c r="I59" s="63"/>
    </row>
    <row r="60">
      <c r="I60" s="63"/>
    </row>
    <row r="61">
      <c r="I61" s="63"/>
    </row>
    <row r="62">
      <c r="I62" s="63"/>
    </row>
    <row r="63">
      <c r="I63" s="63"/>
    </row>
    <row r="64">
      <c r="I64" s="63"/>
    </row>
    <row r="65">
      <c r="I65" s="63"/>
    </row>
    <row r="66">
      <c r="I66" s="63"/>
    </row>
    <row r="67">
      <c r="I67" s="63"/>
    </row>
    <row r="68">
      <c r="I68" s="63"/>
    </row>
    <row r="69">
      <c r="I69" s="63"/>
    </row>
    <row r="70">
      <c r="I70" s="63"/>
    </row>
    <row r="71">
      <c r="I71" s="63"/>
    </row>
    <row r="72">
      <c r="I72" s="63"/>
    </row>
    <row r="73">
      <c r="I73" s="63"/>
    </row>
    <row r="74">
      <c r="I74" s="63"/>
    </row>
    <row r="75">
      <c r="I75" s="63"/>
    </row>
    <row r="76">
      <c r="I76" s="63"/>
    </row>
    <row r="77">
      <c r="I77" s="63"/>
    </row>
    <row r="78">
      <c r="I78" s="63"/>
    </row>
    <row r="79">
      <c r="I79" s="63"/>
    </row>
    <row r="80">
      <c r="I80" s="63"/>
    </row>
    <row r="81">
      <c r="I81" s="63"/>
    </row>
    <row r="82">
      <c r="I82" s="63"/>
    </row>
    <row r="83">
      <c r="I83" s="63"/>
    </row>
    <row r="84">
      <c r="I84" s="63"/>
    </row>
    <row r="85">
      <c r="I85" s="63"/>
    </row>
    <row r="86">
      <c r="I86" s="63"/>
    </row>
    <row r="87">
      <c r="I87" s="63"/>
    </row>
    <row r="88">
      <c r="I88" s="63"/>
    </row>
    <row r="89">
      <c r="I89" s="63"/>
    </row>
    <row r="90">
      <c r="I90" s="63"/>
    </row>
    <row r="91">
      <c r="I91" s="63"/>
    </row>
    <row r="92">
      <c r="I92" s="63"/>
    </row>
    <row r="93">
      <c r="I93" s="63"/>
    </row>
    <row r="94">
      <c r="I94" s="63"/>
    </row>
    <row r="95">
      <c r="I95" s="63"/>
    </row>
    <row r="96">
      <c r="I96" s="63"/>
    </row>
    <row r="97">
      <c r="I97" s="63"/>
    </row>
    <row r="98">
      <c r="I98" s="63"/>
    </row>
    <row r="99">
      <c r="I99" s="63"/>
    </row>
    <row r="100">
      <c r="I100" s="63"/>
    </row>
    <row r="101">
      <c r="I101" s="63"/>
    </row>
    <row r="102">
      <c r="I102" s="63"/>
    </row>
    <row r="103">
      <c r="I103" s="63"/>
    </row>
    <row r="104">
      <c r="I104" s="63"/>
    </row>
    <row r="105">
      <c r="I105" s="63"/>
    </row>
    <row r="106">
      <c r="I106" s="63"/>
    </row>
    <row r="107">
      <c r="I107" s="63"/>
    </row>
    <row r="108">
      <c r="I108" s="63"/>
    </row>
    <row r="109">
      <c r="I109" s="63"/>
    </row>
    <row r="110">
      <c r="I110" s="63"/>
    </row>
    <row r="111">
      <c r="I111" s="63"/>
    </row>
    <row r="112">
      <c r="I112" s="63"/>
    </row>
    <row r="113">
      <c r="I113" s="63"/>
    </row>
    <row r="114">
      <c r="I114" s="63"/>
    </row>
    <row r="115">
      <c r="I115" s="63"/>
    </row>
    <row r="116">
      <c r="I116" s="63"/>
    </row>
    <row r="117">
      <c r="I117" s="63"/>
    </row>
    <row r="118">
      <c r="I118" s="63"/>
    </row>
    <row r="119">
      <c r="I119" s="63"/>
    </row>
    <row r="120">
      <c r="I120" s="63"/>
    </row>
    <row r="121">
      <c r="I121" s="63"/>
    </row>
    <row r="122">
      <c r="I122" s="63"/>
    </row>
    <row r="123">
      <c r="I123" s="63"/>
    </row>
    <row r="124">
      <c r="I124" s="63"/>
    </row>
    <row r="125">
      <c r="I125" s="63"/>
    </row>
    <row r="126">
      <c r="I126" s="63"/>
    </row>
    <row r="127">
      <c r="I127" s="63"/>
    </row>
    <row r="128">
      <c r="I128" s="63"/>
    </row>
    <row r="129">
      <c r="I129" s="63"/>
    </row>
    <row r="130">
      <c r="I130" s="63"/>
    </row>
    <row r="131">
      <c r="I131" s="63"/>
    </row>
    <row r="132">
      <c r="I132" s="63"/>
    </row>
    <row r="133">
      <c r="I133" s="63"/>
    </row>
    <row r="134">
      <c r="I134" s="63"/>
    </row>
    <row r="135">
      <c r="I135" s="63"/>
    </row>
    <row r="136">
      <c r="I136" s="63"/>
    </row>
    <row r="137">
      <c r="I137" s="63"/>
    </row>
    <row r="138">
      <c r="I138" s="63"/>
    </row>
    <row r="139">
      <c r="I139" s="63"/>
    </row>
    <row r="140">
      <c r="I140" s="63"/>
    </row>
    <row r="141">
      <c r="I141" s="63"/>
    </row>
    <row r="142">
      <c r="I142" s="63"/>
    </row>
    <row r="143">
      <c r="I143" s="63"/>
    </row>
    <row r="144">
      <c r="I144" s="63"/>
    </row>
    <row r="145">
      <c r="I145" s="63"/>
    </row>
    <row r="146">
      <c r="I146" s="63"/>
    </row>
    <row r="147">
      <c r="I147" s="63"/>
    </row>
    <row r="148">
      <c r="I148" s="63"/>
    </row>
    <row r="149">
      <c r="I149" s="63"/>
    </row>
    <row r="150">
      <c r="I150" s="63"/>
    </row>
    <row r="151">
      <c r="I151" s="63"/>
    </row>
    <row r="152">
      <c r="I152" s="63"/>
    </row>
    <row r="153">
      <c r="I153" s="63"/>
    </row>
    <row r="154">
      <c r="I154" s="63"/>
    </row>
    <row r="155">
      <c r="I155" s="63"/>
    </row>
    <row r="156">
      <c r="I156" s="63"/>
    </row>
    <row r="157">
      <c r="I157" s="63"/>
    </row>
    <row r="158">
      <c r="I158" s="63"/>
    </row>
    <row r="159">
      <c r="I159" s="63"/>
    </row>
    <row r="160">
      <c r="I160" s="63"/>
    </row>
    <row r="161">
      <c r="I161" s="63"/>
    </row>
    <row r="162">
      <c r="I162" s="63"/>
    </row>
    <row r="163">
      <c r="I163" s="63"/>
    </row>
    <row r="164">
      <c r="I164" s="63"/>
    </row>
    <row r="165">
      <c r="I165" s="63"/>
    </row>
    <row r="166">
      <c r="I166" s="63"/>
    </row>
    <row r="167">
      <c r="I167" s="63"/>
    </row>
    <row r="168">
      <c r="I168" s="63"/>
    </row>
    <row r="169">
      <c r="I169" s="63"/>
    </row>
    <row r="170">
      <c r="I170" s="63"/>
    </row>
    <row r="171">
      <c r="I171" s="63"/>
    </row>
    <row r="172">
      <c r="I172" s="63"/>
    </row>
    <row r="173">
      <c r="I173" s="63"/>
    </row>
    <row r="174">
      <c r="I174" s="63"/>
    </row>
    <row r="175">
      <c r="I175" s="63"/>
    </row>
    <row r="176">
      <c r="I176" s="63"/>
    </row>
    <row r="177">
      <c r="I177" s="63"/>
    </row>
    <row r="178">
      <c r="I178" s="63"/>
    </row>
    <row r="179">
      <c r="I179" s="63"/>
    </row>
    <row r="180">
      <c r="I180" s="63"/>
    </row>
    <row r="181">
      <c r="I181" s="63"/>
    </row>
    <row r="182">
      <c r="I182" s="63"/>
    </row>
    <row r="183">
      <c r="I183" s="63"/>
    </row>
    <row r="184">
      <c r="I184" s="63"/>
    </row>
    <row r="185">
      <c r="I185" s="63"/>
    </row>
    <row r="186">
      <c r="I186" s="63"/>
    </row>
    <row r="187">
      <c r="I187" s="63"/>
    </row>
    <row r="188">
      <c r="I188" s="63"/>
    </row>
    <row r="189">
      <c r="I189" s="63"/>
    </row>
    <row r="190">
      <c r="I190" s="63"/>
    </row>
    <row r="191">
      <c r="I191" s="63"/>
    </row>
    <row r="192">
      <c r="I192" s="63"/>
    </row>
    <row r="193">
      <c r="I193" s="63"/>
    </row>
    <row r="194">
      <c r="I194" s="63"/>
    </row>
    <row r="195">
      <c r="I195" s="63"/>
    </row>
    <row r="196">
      <c r="I196" s="63"/>
    </row>
    <row r="197">
      <c r="I197" s="63"/>
    </row>
    <row r="198">
      <c r="I198" s="63"/>
    </row>
    <row r="199">
      <c r="I199" s="63"/>
    </row>
    <row r="200">
      <c r="I200" s="63"/>
    </row>
    <row r="201">
      <c r="I201" s="63"/>
    </row>
    <row r="202">
      <c r="I202" s="63"/>
    </row>
    <row r="203">
      <c r="I203" s="63"/>
    </row>
    <row r="204">
      <c r="I204" s="63"/>
    </row>
    <row r="205">
      <c r="I205" s="63"/>
    </row>
    <row r="206">
      <c r="I206" s="63"/>
    </row>
    <row r="207">
      <c r="I207" s="63"/>
    </row>
    <row r="208">
      <c r="I208" s="63"/>
    </row>
    <row r="209">
      <c r="I209" s="63"/>
    </row>
    <row r="210">
      <c r="I210" s="63"/>
    </row>
    <row r="211">
      <c r="I211" s="63"/>
    </row>
    <row r="212">
      <c r="I212" s="63"/>
    </row>
    <row r="213">
      <c r="I213" s="63"/>
    </row>
    <row r="214">
      <c r="I214" s="63"/>
    </row>
    <row r="215">
      <c r="I215" s="63"/>
    </row>
    <row r="216">
      <c r="I216" s="63"/>
    </row>
    <row r="217">
      <c r="I217" s="63"/>
    </row>
    <row r="218">
      <c r="I218" s="63"/>
    </row>
    <row r="219">
      <c r="I219" s="63"/>
    </row>
    <row r="220">
      <c r="I220" s="63"/>
    </row>
    <row r="221">
      <c r="I221" s="63"/>
    </row>
    <row r="222">
      <c r="I222" s="63"/>
    </row>
    <row r="223">
      <c r="I223" s="63"/>
    </row>
    <row r="224">
      <c r="I224" s="63"/>
    </row>
    <row r="225">
      <c r="I225" s="63"/>
    </row>
    <row r="226">
      <c r="I226" s="63"/>
    </row>
    <row r="227">
      <c r="I227" s="63"/>
    </row>
    <row r="228">
      <c r="I228" s="63"/>
    </row>
    <row r="229">
      <c r="I229" s="63"/>
    </row>
    <row r="230">
      <c r="I230" s="63"/>
    </row>
    <row r="231">
      <c r="I231" s="63"/>
    </row>
    <row r="232">
      <c r="I232" s="63"/>
    </row>
    <row r="233">
      <c r="I233" s="63"/>
    </row>
    <row r="234">
      <c r="I234" s="63"/>
    </row>
    <row r="235">
      <c r="I235" s="63"/>
    </row>
    <row r="236">
      <c r="I236" s="63"/>
    </row>
    <row r="237">
      <c r="I237" s="63"/>
    </row>
    <row r="238">
      <c r="I238" s="63"/>
    </row>
    <row r="239">
      <c r="I239" s="63"/>
    </row>
    <row r="240">
      <c r="I240" s="63"/>
    </row>
    <row r="241">
      <c r="I241" s="63"/>
    </row>
    <row r="242">
      <c r="I242" s="63"/>
    </row>
    <row r="243">
      <c r="I243" s="63"/>
    </row>
    <row r="244">
      <c r="I244" s="63"/>
    </row>
    <row r="245">
      <c r="I245" s="63"/>
    </row>
    <row r="246">
      <c r="I246" s="63"/>
    </row>
    <row r="247">
      <c r="I247" s="63"/>
    </row>
    <row r="248">
      <c r="I248" s="63"/>
    </row>
    <row r="249">
      <c r="I249" s="63"/>
    </row>
    <row r="250">
      <c r="I250" s="63"/>
    </row>
    <row r="251">
      <c r="I251" s="63"/>
    </row>
    <row r="252">
      <c r="I252" s="63"/>
    </row>
    <row r="253">
      <c r="I253" s="63"/>
    </row>
    <row r="254">
      <c r="I254" s="63"/>
    </row>
    <row r="255">
      <c r="I255" s="63"/>
    </row>
    <row r="256">
      <c r="I256" s="63"/>
    </row>
    <row r="257">
      <c r="I257" s="63"/>
    </row>
    <row r="258">
      <c r="I258" s="63"/>
    </row>
    <row r="259">
      <c r="I259" s="63"/>
    </row>
    <row r="260">
      <c r="I260" s="63"/>
    </row>
    <row r="261">
      <c r="I261" s="63"/>
    </row>
    <row r="262">
      <c r="I262" s="63"/>
    </row>
    <row r="263">
      <c r="I263" s="63"/>
    </row>
    <row r="264">
      <c r="I264" s="63"/>
    </row>
    <row r="265">
      <c r="I265" s="63"/>
    </row>
    <row r="266">
      <c r="I266" s="63"/>
    </row>
    <row r="267">
      <c r="I267" s="63"/>
    </row>
    <row r="268">
      <c r="I268" s="63"/>
    </row>
    <row r="269">
      <c r="I269" s="63"/>
    </row>
    <row r="270">
      <c r="I270" s="63"/>
    </row>
    <row r="271">
      <c r="I271" s="63"/>
    </row>
    <row r="272">
      <c r="I272" s="63"/>
    </row>
    <row r="273">
      <c r="I273" s="63"/>
    </row>
    <row r="274">
      <c r="I274" s="63"/>
    </row>
    <row r="275">
      <c r="I275" s="63"/>
    </row>
    <row r="276">
      <c r="I276" s="63"/>
    </row>
    <row r="277">
      <c r="I277" s="63"/>
    </row>
    <row r="278">
      <c r="I278" s="63"/>
    </row>
    <row r="279">
      <c r="I279" s="63"/>
    </row>
    <row r="280">
      <c r="I280" s="63"/>
    </row>
    <row r="281">
      <c r="I281" s="63"/>
    </row>
    <row r="282">
      <c r="I282" s="63"/>
    </row>
    <row r="283">
      <c r="I283" s="63"/>
    </row>
    <row r="284">
      <c r="I284" s="63"/>
    </row>
    <row r="285">
      <c r="I285" s="63"/>
    </row>
    <row r="286">
      <c r="I286" s="63"/>
    </row>
    <row r="287">
      <c r="I287" s="63"/>
    </row>
    <row r="288">
      <c r="I288" s="63"/>
    </row>
    <row r="289">
      <c r="I289" s="63"/>
    </row>
    <row r="290">
      <c r="I290" s="63"/>
    </row>
    <row r="291">
      <c r="I291" s="63"/>
    </row>
    <row r="292">
      <c r="I292" s="63"/>
    </row>
    <row r="293">
      <c r="I293" s="63"/>
    </row>
    <row r="294">
      <c r="I294" s="63"/>
    </row>
    <row r="295">
      <c r="I295" s="63"/>
    </row>
    <row r="296">
      <c r="I296" s="63"/>
    </row>
    <row r="297">
      <c r="I297" s="63"/>
    </row>
    <row r="298">
      <c r="I298" s="63"/>
    </row>
    <row r="299">
      <c r="I299" s="63"/>
    </row>
    <row r="300">
      <c r="I300" s="63"/>
    </row>
    <row r="301">
      <c r="I301" s="63"/>
    </row>
    <row r="302">
      <c r="I302" s="63"/>
    </row>
    <row r="303">
      <c r="I303" s="63"/>
    </row>
    <row r="304">
      <c r="I304" s="63"/>
    </row>
    <row r="305">
      <c r="I305" s="63"/>
    </row>
    <row r="306">
      <c r="I306" s="63"/>
    </row>
    <row r="307">
      <c r="I307" s="63"/>
    </row>
    <row r="308">
      <c r="I308" s="63"/>
    </row>
    <row r="309">
      <c r="I309" s="63"/>
    </row>
    <row r="310">
      <c r="I310" s="63"/>
    </row>
    <row r="311">
      <c r="I311" s="63"/>
    </row>
    <row r="312">
      <c r="I312" s="63"/>
    </row>
    <row r="313">
      <c r="I313" s="63"/>
    </row>
    <row r="314">
      <c r="I314" s="63"/>
    </row>
    <row r="315">
      <c r="I315" s="63"/>
    </row>
    <row r="316">
      <c r="I316" s="63"/>
    </row>
    <row r="317">
      <c r="I317" s="63"/>
    </row>
    <row r="318">
      <c r="I318" s="63"/>
    </row>
    <row r="319">
      <c r="I319" s="63"/>
    </row>
    <row r="320">
      <c r="I320" s="63"/>
    </row>
    <row r="321">
      <c r="I321" s="63"/>
    </row>
    <row r="322">
      <c r="I322" s="63"/>
    </row>
    <row r="323">
      <c r="I323" s="63"/>
    </row>
    <row r="324">
      <c r="I324" s="63"/>
    </row>
    <row r="325">
      <c r="I325" s="63"/>
    </row>
    <row r="326">
      <c r="I326" s="63"/>
    </row>
    <row r="327">
      <c r="I327" s="63"/>
    </row>
    <row r="328">
      <c r="I328" s="63"/>
    </row>
    <row r="329">
      <c r="I329" s="63"/>
    </row>
    <row r="330">
      <c r="I330" s="63"/>
    </row>
    <row r="331">
      <c r="I331" s="63"/>
    </row>
    <row r="332">
      <c r="I332" s="63"/>
    </row>
    <row r="333">
      <c r="I333" s="63"/>
    </row>
    <row r="334">
      <c r="I334" s="63"/>
    </row>
    <row r="335">
      <c r="I335" s="63"/>
    </row>
    <row r="336">
      <c r="I336" s="63"/>
    </row>
    <row r="337">
      <c r="I337" s="63"/>
    </row>
    <row r="338">
      <c r="I338" s="63"/>
    </row>
    <row r="339">
      <c r="I339" s="63"/>
    </row>
    <row r="340">
      <c r="I340" s="63"/>
    </row>
    <row r="341">
      <c r="I341" s="63"/>
    </row>
    <row r="342">
      <c r="I342" s="63"/>
    </row>
    <row r="343">
      <c r="I343" s="63"/>
    </row>
    <row r="344">
      <c r="I344" s="63"/>
    </row>
    <row r="345">
      <c r="I345" s="63"/>
    </row>
    <row r="346">
      <c r="I346" s="63"/>
    </row>
    <row r="347">
      <c r="I347" s="63"/>
    </row>
    <row r="348">
      <c r="I348" s="63"/>
    </row>
    <row r="349">
      <c r="I349" s="63"/>
    </row>
    <row r="350">
      <c r="I350" s="63"/>
    </row>
    <row r="351">
      <c r="I351" s="63"/>
    </row>
    <row r="352">
      <c r="I352" s="63"/>
    </row>
    <row r="353">
      <c r="I353" s="63"/>
    </row>
    <row r="354">
      <c r="I354" s="63"/>
    </row>
    <row r="355">
      <c r="I355" s="63"/>
    </row>
    <row r="356">
      <c r="I356" s="63"/>
    </row>
    <row r="357">
      <c r="I357" s="63"/>
    </row>
    <row r="358">
      <c r="I358" s="63"/>
    </row>
    <row r="359">
      <c r="I359" s="63"/>
    </row>
    <row r="360">
      <c r="I360" s="63"/>
    </row>
    <row r="361">
      <c r="I361" s="63"/>
    </row>
    <row r="362">
      <c r="I362" s="63"/>
    </row>
    <row r="363">
      <c r="I363" s="63"/>
    </row>
    <row r="364">
      <c r="I364" s="63"/>
    </row>
    <row r="365">
      <c r="I365" s="63"/>
    </row>
    <row r="366">
      <c r="I366" s="63"/>
    </row>
    <row r="367">
      <c r="I367" s="63"/>
    </row>
    <row r="368">
      <c r="I368" s="63"/>
    </row>
    <row r="369">
      <c r="I369" s="63"/>
    </row>
    <row r="370">
      <c r="I370" s="63"/>
    </row>
    <row r="371">
      <c r="I371" s="63"/>
    </row>
    <row r="372">
      <c r="I372" s="63"/>
    </row>
    <row r="373">
      <c r="I373" s="63"/>
    </row>
    <row r="374">
      <c r="I374" s="63"/>
    </row>
    <row r="375">
      <c r="I375" s="63"/>
    </row>
    <row r="376">
      <c r="I376" s="63"/>
    </row>
    <row r="377">
      <c r="I377" s="63"/>
    </row>
    <row r="378">
      <c r="I378" s="63"/>
    </row>
    <row r="379">
      <c r="I379" s="63"/>
    </row>
    <row r="380">
      <c r="I380" s="63"/>
    </row>
    <row r="381">
      <c r="I381" s="63"/>
    </row>
    <row r="382">
      <c r="I382" s="63"/>
    </row>
    <row r="383">
      <c r="I383" s="63"/>
    </row>
    <row r="384">
      <c r="I384" s="63"/>
    </row>
    <row r="385">
      <c r="I385" s="63"/>
    </row>
    <row r="386">
      <c r="I386" s="63"/>
    </row>
    <row r="387">
      <c r="I387" s="63"/>
    </row>
    <row r="388">
      <c r="I388" s="63"/>
    </row>
    <row r="389">
      <c r="I389" s="63"/>
    </row>
    <row r="390">
      <c r="I390" s="63"/>
    </row>
    <row r="391">
      <c r="I391" s="63"/>
    </row>
    <row r="392">
      <c r="I392" s="63"/>
    </row>
    <row r="393">
      <c r="I393" s="63"/>
    </row>
    <row r="394">
      <c r="I394" s="63"/>
    </row>
    <row r="395">
      <c r="I395" s="63"/>
    </row>
    <row r="396">
      <c r="I396" s="63"/>
    </row>
    <row r="397">
      <c r="I397" s="63"/>
    </row>
    <row r="398">
      <c r="I398" s="63"/>
    </row>
    <row r="399">
      <c r="I399" s="63"/>
    </row>
    <row r="400">
      <c r="I400" s="63"/>
    </row>
    <row r="401">
      <c r="I401" s="63"/>
    </row>
    <row r="402">
      <c r="I402" s="63"/>
    </row>
    <row r="403">
      <c r="I403" s="63"/>
    </row>
    <row r="404">
      <c r="I404" s="63"/>
    </row>
    <row r="405">
      <c r="I405" s="63"/>
    </row>
    <row r="406">
      <c r="I406" s="63"/>
    </row>
    <row r="407">
      <c r="I407" s="63"/>
    </row>
    <row r="408">
      <c r="I408" s="63"/>
    </row>
    <row r="409">
      <c r="I409" s="63"/>
    </row>
    <row r="410">
      <c r="I410" s="63"/>
    </row>
    <row r="411">
      <c r="I411" s="63"/>
    </row>
    <row r="412">
      <c r="I412" s="63"/>
    </row>
    <row r="413">
      <c r="I413" s="63"/>
    </row>
    <row r="414">
      <c r="I414" s="63"/>
    </row>
    <row r="415">
      <c r="I415" s="63"/>
    </row>
    <row r="416">
      <c r="I416" s="63"/>
    </row>
    <row r="417">
      <c r="I417" s="63"/>
    </row>
    <row r="418">
      <c r="I418" s="63"/>
    </row>
    <row r="419">
      <c r="I419" s="63"/>
    </row>
    <row r="420">
      <c r="I420" s="63"/>
    </row>
    <row r="421">
      <c r="I421" s="63"/>
    </row>
    <row r="422">
      <c r="I422" s="63"/>
    </row>
    <row r="423">
      <c r="I423" s="63"/>
    </row>
    <row r="424">
      <c r="I424" s="63"/>
    </row>
    <row r="425">
      <c r="I425" s="63"/>
    </row>
    <row r="426">
      <c r="I426" s="63"/>
    </row>
    <row r="427">
      <c r="I427" s="63"/>
    </row>
    <row r="428">
      <c r="I428" s="63"/>
    </row>
    <row r="429">
      <c r="I429" s="63"/>
    </row>
    <row r="430">
      <c r="I430" s="63"/>
    </row>
    <row r="431">
      <c r="I431" s="63"/>
    </row>
    <row r="432">
      <c r="I432" s="63"/>
    </row>
    <row r="433">
      <c r="I433" s="63"/>
    </row>
    <row r="434">
      <c r="I434" s="63"/>
    </row>
    <row r="435">
      <c r="I435" s="63"/>
    </row>
    <row r="436">
      <c r="I436" s="63"/>
    </row>
    <row r="437">
      <c r="I437" s="63"/>
    </row>
    <row r="438">
      <c r="I438" s="63"/>
    </row>
    <row r="439">
      <c r="I439" s="63"/>
    </row>
    <row r="440">
      <c r="I440" s="63"/>
    </row>
    <row r="441">
      <c r="I441" s="63"/>
    </row>
    <row r="442">
      <c r="I442" s="63"/>
    </row>
    <row r="443">
      <c r="I443" s="63"/>
    </row>
    <row r="444">
      <c r="I444" s="63"/>
    </row>
    <row r="445">
      <c r="I445" s="63"/>
    </row>
    <row r="446">
      <c r="I446" s="63"/>
    </row>
    <row r="447">
      <c r="I447" s="63"/>
    </row>
    <row r="448">
      <c r="I448" s="63"/>
    </row>
    <row r="449">
      <c r="I449" s="63"/>
    </row>
    <row r="450">
      <c r="I450" s="63"/>
    </row>
    <row r="451">
      <c r="I451" s="63"/>
    </row>
    <row r="452">
      <c r="I452" s="63"/>
    </row>
    <row r="453">
      <c r="I453" s="63"/>
    </row>
    <row r="454">
      <c r="I454" s="63"/>
    </row>
    <row r="455">
      <c r="I455" s="63"/>
    </row>
    <row r="456">
      <c r="I456" s="63"/>
    </row>
    <row r="457">
      <c r="I457" s="63"/>
    </row>
    <row r="458">
      <c r="I458" s="63"/>
    </row>
    <row r="459">
      <c r="I459" s="63"/>
    </row>
    <row r="460">
      <c r="I460" s="63"/>
    </row>
    <row r="461">
      <c r="I461" s="63"/>
    </row>
    <row r="462">
      <c r="I462" s="63"/>
    </row>
    <row r="463">
      <c r="I463" s="63"/>
    </row>
    <row r="464">
      <c r="I464" s="63"/>
    </row>
    <row r="465">
      <c r="I465" s="63"/>
    </row>
    <row r="466">
      <c r="I466" s="63"/>
    </row>
    <row r="467">
      <c r="I467" s="63"/>
    </row>
    <row r="468">
      <c r="I468" s="63"/>
    </row>
    <row r="469">
      <c r="I469" s="63"/>
    </row>
    <row r="470">
      <c r="I470" s="63"/>
    </row>
    <row r="471">
      <c r="I471" s="63"/>
    </row>
    <row r="472">
      <c r="I472" s="63"/>
    </row>
    <row r="473">
      <c r="I473" s="63"/>
    </row>
    <row r="474">
      <c r="I474" s="63"/>
    </row>
    <row r="475">
      <c r="I475" s="63"/>
    </row>
    <row r="476">
      <c r="I476" s="63"/>
    </row>
    <row r="477">
      <c r="I477" s="63"/>
    </row>
    <row r="478">
      <c r="I478" s="63"/>
    </row>
    <row r="479">
      <c r="I479" s="63"/>
    </row>
    <row r="480">
      <c r="I480" s="63"/>
    </row>
    <row r="481">
      <c r="I481" s="63"/>
    </row>
    <row r="482">
      <c r="I482" s="63"/>
    </row>
    <row r="483">
      <c r="I483" s="63"/>
    </row>
    <row r="484">
      <c r="I484" s="63"/>
    </row>
    <row r="485">
      <c r="I485" s="63"/>
    </row>
    <row r="486">
      <c r="I486" s="63"/>
    </row>
    <row r="487">
      <c r="I487" s="63"/>
    </row>
    <row r="488">
      <c r="I488" s="63"/>
    </row>
    <row r="489">
      <c r="I489" s="63"/>
    </row>
    <row r="490">
      <c r="I490" s="63"/>
    </row>
    <row r="491">
      <c r="I491" s="63"/>
    </row>
    <row r="492">
      <c r="I492" s="63"/>
    </row>
    <row r="493">
      <c r="I493" s="63"/>
    </row>
    <row r="494">
      <c r="I494" s="63"/>
    </row>
    <row r="495">
      <c r="I495" s="63"/>
    </row>
    <row r="496">
      <c r="I496" s="63"/>
    </row>
    <row r="497">
      <c r="I497" s="63"/>
    </row>
    <row r="498">
      <c r="I498" s="63"/>
    </row>
    <row r="499">
      <c r="I499" s="63"/>
    </row>
    <row r="500">
      <c r="I500" s="63"/>
    </row>
    <row r="501">
      <c r="I501" s="63"/>
    </row>
    <row r="502">
      <c r="I502" s="63"/>
    </row>
    <row r="503">
      <c r="I503" s="63"/>
    </row>
    <row r="504">
      <c r="I504" s="63"/>
    </row>
    <row r="505">
      <c r="I505" s="63"/>
    </row>
    <row r="506">
      <c r="I506" s="63"/>
    </row>
    <row r="507">
      <c r="I507" s="63"/>
    </row>
    <row r="508">
      <c r="I508" s="63"/>
    </row>
    <row r="509">
      <c r="I509" s="63"/>
    </row>
    <row r="510">
      <c r="I510" s="63"/>
    </row>
    <row r="511">
      <c r="I511" s="63"/>
    </row>
    <row r="512">
      <c r="I512" s="63"/>
    </row>
    <row r="513">
      <c r="I513" s="63"/>
    </row>
    <row r="514">
      <c r="I514" s="63"/>
    </row>
    <row r="515">
      <c r="I515" s="63"/>
    </row>
    <row r="516">
      <c r="I516" s="63"/>
    </row>
    <row r="517">
      <c r="I517" s="63"/>
    </row>
    <row r="518">
      <c r="I518" s="63"/>
    </row>
    <row r="519">
      <c r="I519" s="63"/>
    </row>
    <row r="520">
      <c r="I520" s="63"/>
    </row>
    <row r="521">
      <c r="I521" s="63"/>
    </row>
    <row r="522">
      <c r="I522" s="63"/>
    </row>
    <row r="523">
      <c r="I523" s="63"/>
    </row>
    <row r="524">
      <c r="I524" s="63"/>
    </row>
    <row r="525">
      <c r="I525" s="63"/>
    </row>
    <row r="526">
      <c r="I526" s="63"/>
    </row>
    <row r="527">
      <c r="I527" s="63"/>
    </row>
    <row r="528">
      <c r="I528" s="63"/>
    </row>
    <row r="529">
      <c r="I529" s="63"/>
    </row>
    <row r="530">
      <c r="I530" s="63"/>
    </row>
    <row r="531">
      <c r="I531" s="63"/>
    </row>
    <row r="532">
      <c r="I532" s="63"/>
    </row>
    <row r="533">
      <c r="I533" s="63"/>
    </row>
    <row r="534">
      <c r="I534" s="63"/>
    </row>
    <row r="535">
      <c r="I535" s="63"/>
    </row>
    <row r="536">
      <c r="I536" s="63"/>
    </row>
    <row r="537">
      <c r="I537" s="63"/>
    </row>
    <row r="538">
      <c r="I538" s="63"/>
    </row>
    <row r="539">
      <c r="I539" s="63"/>
    </row>
    <row r="540">
      <c r="I540" s="63"/>
    </row>
    <row r="541">
      <c r="I541" s="63"/>
    </row>
    <row r="542">
      <c r="I542" s="63"/>
    </row>
    <row r="543">
      <c r="I543" s="63"/>
    </row>
    <row r="544">
      <c r="I544" s="63"/>
    </row>
    <row r="545">
      <c r="I545" s="63"/>
    </row>
    <row r="546">
      <c r="I546" s="63"/>
    </row>
    <row r="547">
      <c r="I547" s="63"/>
    </row>
    <row r="548">
      <c r="I548" s="63"/>
    </row>
    <row r="549">
      <c r="I549" s="63"/>
    </row>
    <row r="550">
      <c r="I550" s="63"/>
    </row>
    <row r="551">
      <c r="I551" s="63"/>
    </row>
    <row r="552">
      <c r="I552" s="63"/>
    </row>
    <row r="553">
      <c r="I553" s="63"/>
    </row>
    <row r="554">
      <c r="I554" s="63"/>
    </row>
    <row r="555">
      <c r="I555" s="63"/>
    </row>
    <row r="556">
      <c r="I556" s="63"/>
    </row>
    <row r="557">
      <c r="I557" s="63"/>
    </row>
    <row r="558">
      <c r="I558" s="63"/>
    </row>
    <row r="559">
      <c r="I559" s="63"/>
    </row>
    <row r="560">
      <c r="I560" s="63"/>
    </row>
    <row r="561">
      <c r="I561" s="63"/>
    </row>
    <row r="562">
      <c r="I562" s="63"/>
    </row>
    <row r="563">
      <c r="I563" s="63"/>
    </row>
    <row r="564">
      <c r="I564" s="63"/>
    </row>
    <row r="565">
      <c r="I565" s="63"/>
    </row>
    <row r="566">
      <c r="I566" s="63"/>
    </row>
    <row r="567">
      <c r="I567" s="63"/>
    </row>
    <row r="568">
      <c r="I568" s="63"/>
    </row>
    <row r="569">
      <c r="I569" s="63"/>
    </row>
    <row r="570">
      <c r="I570" s="63"/>
    </row>
    <row r="571">
      <c r="I571" s="63"/>
    </row>
    <row r="572">
      <c r="I572" s="63"/>
    </row>
    <row r="573">
      <c r="I573" s="63"/>
    </row>
    <row r="574">
      <c r="I574" s="63"/>
    </row>
    <row r="575">
      <c r="I575" s="63"/>
    </row>
    <row r="576">
      <c r="I576" s="63"/>
    </row>
    <row r="577">
      <c r="I577" s="63"/>
    </row>
    <row r="578">
      <c r="I578" s="63"/>
    </row>
    <row r="579">
      <c r="I579" s="63"/>
    </row>
    <row r="580">
      <c r="I580" s="63"/>
    </row>
    <row r="581">
      <c r="I581" s="63"/>
    </row>
    <row r="582">
      <c r="I582" s="63"/>
    </row>
    <row r="583">
      <c r="I583" s="63"/>
    </row>
    <row r="584">
      <c r="I584" s="63"/>
    </row>
    <row r="585">
      <c r="I585" s="63"/>
    </row>
    <row r="586">
      <c r="I586" s="63"/>
    </row>
    <row r="587">
      <c r="I587" s="63"/>
    </row>
    <row r="588">
      <c r="I588" s="63"/>
    </row>
    <row r="589">
      <c r="I589" s="63"/>
    </row>
    <row r="590">
      <c r="I590" s="63"/>
    </row>
    <row r="591">
      <c r="I591" s="63"/>
    </row>
    <row r="592">
      <c r="I592" s="63"/>
    </row>
    <row r="593">
      <c r="I593" s="63"/>
    </row>
    <row r="594">
      <c r="I594" s="63"/>
    </row>
    <row r="595">
      <c r="I595" s="63"/>
    </row>
    <row r="596">
      <c r="I596" s="63"/>
    </row>
    <row r="597">
      <c r="I597" s="63"/>
    </row>
    <row r="598">
      <c r="I598" s="63"/>
    </row>
    <row r="599">
      <c r="I599" s="63"/>
    </row>
    <row r="600">
      <c r="I600" s="63"/>
    </row>
    <row r="601">
      <c r="I601" s="63"/>
    </row>
    <row r="602">
      <c r="I602" s="63"/>
    </row>
    <row r="603">
      <c r="I603" s="63"/>
    </row>
    <row r="604">
      <c r="I604" s="63"/>
    </row>
    <row r="605">
      <c r="I605" s="63"/>
    </row>
    <row r="606">
      <c r="I606" s="63"/>
    </row>
    <row r="607">
      <c r="I607" s="63"/>
    </row>
    <row r="608">
      <c r="I608" s="63"/>
    </row>
    <row r="609">
      <c r="I609" s="63"/>
    </row>
    <row r="610">
      <c r="I610" s="63"/>
    </row>
    <row r="611">
      <c r="I611" s="63"/>
    </row>
    <row r="612">
      <c r="I612" s="63"/>
    </row>
    <row r="613">
      <c r="I613" s="63"/>
    </row>
    <row r="614">
      <c r="I614" s="63"/>
    </row>
    <row r="615">
      <c r="I615" s="63"/>
    </row>
    <row r="616">
      <c r="I616" s="63"/>
    </row>
    <row r="617">
      <c r="I617" s="63"/>
    </row>
    <row r="618">
      <c r="I618" s="63"/>
    </row>
    <row r="619">
      <c r="I619" s="63"/>
    </row>
    <row r="620">
      <c r="I620" s="63"/>
    </row>
    <row r="621">
      <c r="I621" s="63"/>
    </row>
    <row r="622">
      <c r="I622" s="63"/>
    </row>
    <row r="623">
      <c r="I623" s="63"/>
    </row>
    <row r="624">
      <c r="I624" s="63"/>
    </row>
    <row r="625">
      <c r="I625" s="63"/>
    </row>
    <row r="626">
      <c r="I626" s="63"/>
    </row>
    <row r="627">
      <c r="I627" s="63"/>
    </row>
    <row r="628">
      <c r="I628" s="63"/>
    </row>
    <row r="629">
      <c r="I629" s="63"/>
    </row>
    <row r="630">
      <c r="I630" s="63"/>
    </row>
    <row r="631">
      <c r="I631" s="63"/>
    </row>
    <row r="632">
      <c r="I632" s="63"/>
    </row>
    <row r="633">
      <c r="I633" s="63"/>
    </row>
    <row r="634">
      <c r="I634" s="63"/>
    </row>
    <row r="635">
      <c r="I635" s="63"/>
    </row>
    <row r="636">
      <c r="I636" s="63"/>
    </row>
    <row r="637">
      <c r="I637" s="63"/>
    </row>
    <row r="638">
      <c r="I638" s="63"/>
    </row>
    <row r="639">
      <c r="I639" s="63"/>
    </row>
    <row r="640">
      <c r="I640" s="63"/>
    </row>
    <row r="641">
      <c r="I641" s="63"/>
    </row>
    <row r="642">
      <c r="I642" s="63"/>
    </row>
    <row r="643">
      <c r="I643" s="63"/>
    </row>
    <row r="644">
      <c r="I644" s="63"/>
    </row>
    <row r="645">
      <c r="I645" s="63"/>
    </row>
    <row r="646">
      <c r="I646" s="63"/>
    </row>
    <row r="647">
      <c r="I647" s="63"/>
    </row>
    <row r="648">
      <c r="I648" s="63"/>
    </row>
    <row r="649">
      <c r="I649" s="63"/>
    </row>
    <row r="650">
      <c r="I650" s="63"/>
    </row>
    <row r="651">
      <c r="I651" s="63"/>
    </row>
    <row r="652">
      <c r="I652" s="63"/>
    </row>
    <row r="653">
      <c r="I653" s="63"/>
    </row>
    <row r="654">
      <c r="I654" s="63"/>
    </row>
    <row r="655">
      <c r="I655" s="63"/>
    </row>
    <row r="656">
      <c r="I656" s="63"/>
    </row>
    <row r="657">
      <c r="I657" s="63"/>
    </row>
    <row r="658">
      <c r="I658" s="63"/>
    </row>
    <row r="659">
      <c r="I659" s="63"/>
    </row>
    <row r="660">
      <c r="I660" s="63"/>
    </row>
    <row r="661">
      <c r="I661" s="63"/>
    </row>
    <row r="662">
      <c r="I662" s="63"/>
    </row>
    <row r="663">
      <c r="I663" s="63"/>
    </row>
    <row r="664">
      <c r="I664" s="63"/>
    </row>
    <row r="665">
      <c r="I665" s="63"/>
    </row>
    <row r="666">
      <c r="I666" s="63"/>
    </row>
    <row r="667">
      <c r="I667" s="63"/>
    </row>
    <row r="668">
      <c r="I668" s="63"/>
    </row>
    <row r="669">
      <c r="I669" s="63"/>
    </row>
    <row r="670">
      <c r="I670" s="63"/>
    </row>
    <row r="671">
      <c r="I671" s="63"/>
    </row>
    <row r="672">
      <c r="I672" s="63"/>
    </row>
    <row r="673">
      <c r="I673" s="63"/>
    </row>
    <row r="674">
      <c r="I674" s="63"/>
    </row>
    <row r="675">
      <c r="I675" s="63"/>
    </row>
    <row r="676">
      <c r="I676" s="63"/>
    </row>
    <row r="677">
      <c r="I677" s="63"/>
    </row>
    <row r="678">
      <c r="I678" s="63"/>
    </row>
    <row r="679">
      <c r="I679" s="63"/>
    </row>
    <row r="680">
      <c r="I680" s="63"/>
    </row>
    <row r="681">
      <c r="I681" s="63"/>
    </row>
    <row r="682">
      <c r="I682" s="63"/>
    </row>
    <row r="683">
      <c r="I683" s="63"/>
    </row>
    <row r="684">
      <c r="I684" s="63"/>
    </row>
    <row r="685">
      <c r="I685" s="63"/>
    </row>
    <row r="686">
      <c r="I686" s="63"/>
    </row>
    <row r="687">
      <c r="I687" s="63"/>
    </row>
    <row r="688">
      <c r="I688" s="63"/>
    </row>
    <row r="689">
      <c r="I689" s="63"/>
    </row>
    <row r="690">
      <c r="I690" s="63"/>
    </row>
    <row r="691">
      <c r="I691" s="63"/>
    </row>
    <row r="692">
      <c r="I692" s="63"/>
    </row>
    <row r="693">
      <c r="I693" s="63"/>
    </row>
    <row r="694">
      <c r="I694" s="63"/>
    </row>
    <row r="695">
      <c r="I695" s="63"/>
    </row>
    <row r="696">
      <c r="I696" s="63"/>
    </row>
    <row r="697">
      <c r="I697" s="63"/>
    </row>
    <row r="698">
      <c r="I698" s="63"/>
    </row>
    <row r="699">
      <c r="I699" s="63"/>
    </row>
    <row r="700">
      <c r="I700" s="63"/>
    </row>
    <row r="701">
      <c r="I701" s="63"/>
    </row>
    <row r="702">
      <c r="I702" s="63"/>
    </row>
    <row r="703">
      <c r="I703" s="63"/>
    </row>
    <row r="704">
      <c r="I704" s="63"/>
    </row>
    <row r="705">
      <c r="I705" s="63"/>
    </row>
    <row r="706">
      <c r="I706" s="63"/>
    </row>
    <row r="707">
      <c r="I707" s="63"/>
    </row>
    <row r="708">
      <c r="I708" s="63"/>
    </row>
    <row r="709">
      <c r="I709" s="63"/>
    </row>
    <row r="710">
      <c r="I710" s="63"/>
    </row>
    <row r="711">
      <c r="I711" s="63"/>
    </row>
    <row r="712">
      <c r="I712" s="63"/>
    </row>
    <row r="713">
      <c r="I713" s="63"/>
    </row>
    <row r="714">
      <c r="I714" s="63"/>
    </row>
    <row r="715">
      <c r="I715" s="63"/>
    </row>
    <row r="716">
      <c r="I716" s="63"/>
    </row>
    <row r="717">
      <c r="I717" s="63"/>
    </row>
    <row r="718">
      <c r="I718" s="63"/>
    </row>
    <row r="719">
      <c r="I719" s="63"/>
    </row>
    <row r="720">
      <c r="I720" s="63"/>
    </row>
    <row r="721">
      <c r="I721" s="63"/>
    </row>
    <row r="722">
      <c r="I722" s="63"/>
    </row>
    <row r="723">
      <c r="I723" s="63"/>
    </row>
    <row r="724">
      <c r="I724" s="63"/>
    </row>
    <row r="725">
      <c r="I725" s="63"/>
    </row>
    <row r="726">
      <c r="I726" s="63"/>
    </row>
    <row r="727">
      <c r="I727" s="63"/>
    </row>
    <row r="728">
      <c r="I728" s="63"/>
    </row>
    <row r="729">
      <c r="I729" s="63"/>
    </row>
    <row r="730">
      <c r="I730" s="63"/>
    </row>
    <row r="731">
      <c r="I731" s="63"/>
    </row>
    <row r="732">
      <c r="I732" s="63"/>
    </row>
    <row r="733">
      <c r="I733" s="63"/>
    </row>
    <row r="734">
      <c r="I734" s="63"/>
    </row>
    <row r="735">
      <c r="I735" s="63"/>
    </row>
    <row r="736">
      <c r="I736" s="63"/>
    </row>
    <row r="737">
      <c r="I737" s="63"/>
    </row>
    <row r="738">
      <c r="I738" s="63"/>
    </row>
    <row r="739">
      <c r="I739" s="63"/>
    </row>
    <row r="740">
      <c r="I740" s="63"/>
    </row>
    <row r="741">
      <c r="I741" s="63"/>
    </row>
    <row r="742">
      <c r="I742" s="63"/>
    </row>
    <row r="743">
      <c r="I743" s="63"/>
    </row>
    <row r="744">
      <c r="I744" s="63"/>
    </row>
    <row r="745">
      <c r="I745" s="63"/>
    </row>
    <row r="746">
      <c r="I746" s="63"/>
    </row>
    <row r="747">
      <c r="I747" s="63"/>
    </row>
    <row r="748">
      <c r="I748" s="63"/>
    </row>
    <row r="749">
      <c r="I749" s="63"/>
    </row>
    <row r="750">
      <c r="I750" s="63"/>
    </row>
    <row r="751">
      <c r="I751" s="63"/>
    </row>
    <row r="752">
      <c r="I752" s="63"/>
    </row>
    <row r="753">
      <c r="I753" s="63"/>
    </row>
    <row r="754">
      <c r="I754" s="63"/>
    </row>
    <row r="755">
      <c r="I755" s="63"/>
    </row>
    <row r="756">
      <c r="I756" s="63"/>
    </row>
    <row r="757">
      <c r="I757" s="63"/>
    </row>
    <row r="758">
      <c r="I758" s="63"/>
    </row>
    <row r="759">
      <c r="I759" s="63"/>
    </row>
    <row r="760">
      <c r="I760" s="63"/>
    </row>
    <row r="761">
      <c r="I761" s="63"/>
    </row>
    <row r="762">
      <c r="I762" s="63"/>
    </row>
    <row r="763">
      <c r="I763" s="63"/>
    </row>
    <row r="764">
      <c r="I764" s="63"/>
    </row>
    <row r="765">
      <c r="I765" s="63"/>
    </row>
    <row r="766">
      <c r="I766" s="63"/>
    </row>
    <row r="767">
      <c r="I767" s="63"/>
    </row>
    <row r="768">
      <c r="I768" s="63"/>
    </row>
    <row r="769">
      <c r="I769" s="63"/>
    </row>
    <row r="770">
      <c r="I770" s="63"/>
    </row>
    <row r="771">
      <c r="I771" s="63"/>
    </row>
    <row r="772">
      <c r="I772" s="63"/>
    </row>
    <row r="773">
      <c r="I773" s="63"/>
    </row>
    <row r="774">
      <c r="I774" s="63"/>
    </row>
    <row r="775">
      <c r="I775" s="63"/>
    </row>
    <row r="776">
      <c r="I776" s="63"/>
    </row>
    <row r="777">
      <c r="I777" s="63"/>
    </row>
    <row r="778">
      <c r="I778" s="63"/>
    </row>
    <row r="779">
      <c r="I779" s="63"/>
    </row>
    <row r="780">
      <c r="I780" s="63"/>
    </row>
    <row r="781">
      <c r="I781" s="63"/>
    </row>
    <row r="782">
      <c r="I782" s="63"/>
    </row>
    <row r="783">
      <c r="I783" s="63"/>
    </row>
    <row r="784">
      <c r="I784" s="63"/>
    </row>
    <row r="785">
      <c r="I785" s="63"/>
    </row>
    <row r="786">
      <c r="I786" s="63"/>
    </row>
    <row r="787">
      <c r="I787" s="63"/>
    </row>
    <row r="788">
      <c r="I788" s="63"/>
    </row>
    <row r="789">
      <c r="I789" s="63"/>
    </row>
    <row r="790">
      <c r="I790" s="63"/>
    </row>
    <row r="791">
      <c r="I791" s="63"/>
    </row>
    <row r="792">
      <c r="I792" s="63"/>
    </row>
    <row r="793">
      <c r="I793" s="63"/>
    </row>
    <row r="794">
      <c r="I794" s="63"/>
    </row>
    <row r="795">
      <c r="I795" s="63"/>
    </row>
    <row r="796">
      <c r="I796" s="63"/>
    </row>
    <row r="797">
      <c r="I797" s="63"/>
    </row>
    <row r="798">
      <c r="I798" s="63"/>
    </row>
    <row r="799">
      <c r="I799" s="63"/>
    </row>
    <row r="800">
      <c r="I800" s="63"/>
    </row>
    <row r="801">
      <c r="I801" s="63"/>
    </row>
    <row r="802">
      <c r="I802" s="63"/>
    </row>
    <row r="803">
      <c r="I803" s="63"/>
    </row>
    <row r="804">
      <c r="I804" s="63"/>
    </row>
    <row r="805">
      <c r="I805" s="63"/>
    </row>
    <row r="806">
      <c r="I806" s="63"/>
    </row>
    <row r="807">
      <c r="I807" s="63"/>
    </row>
    <row r="808">
      <c r="I808" s="63"/>
    </row>
    <row r="809">
      <c r="I809" s="63"/>
    </row>
    <row r="810">
      <c r="I810" s="63"/>
    </row>
    <row r="811">
      <c r="I811" s="63"/>
    </row>
    <row r="812">
      <c r="I812" s="63"/>
    </row>
    <row r="813">
      <c r="I813" s="63"/>
    </row>
    <row r="814">
      <c r="I814" s="63"/>
    </row>
    <row r="815">
      <c r="I815" s="63"/>
    </row>
    <row r="816">
      <c r="I816" s="63"/>
    </row>
    <row r="817">
      <c r="I817" s="63"/>
    </row>
    <row r="818">
      <c r="I818" s="63"/>
    </row>
    <row r="819">
      <c r="I819" s="63"/>
    </row>
    <row r="820">
      <c r="I820" s="63"/>
    </row>
    <row r="821">
      <c r="I821" s="63"/>
    </row>
    <row r="822">
      <c r="I822" s="63"/>
    </row>
    <row r="823">
      <c r="I823" s="63"/>
    </row>
    <row r="824">
      <c r="I824" s="63"/>
    </row>
    <row r="825">
      <c r="I825" s="63"/>
    </row>
    <row r="826">
      <c r="I826" s="63"/>
    </row>
    <row r="827">
      <c r="I827" s="63"/>
    </row>
    <row r="828">
      <c r="I828" s="63"/>
    </row>
    <row r="829">
      <c r="I829" s="63"/>
    </row>
    <row r="830">
      <c r="I830" s="63"/>
    </row>
    <row r="831">
      <c r="I831" s="63"/>
    </row>
    <row r="832">
      <c r="I832" s="63"/>
    </row>
    <row r="833">
      <c r="I833" s="63"/>
    </row>
    <row r="834">
      <c r="I834" s="63"/>
    </row>
    <row r="835">
      <c r="I835" s="63"/>
    </row>
    <row r="836">
      <c r="I836" s="63"/>
    </row>
    <row r="837">
      <c r="I837" s="63"/>
    </row>
    <row r="838">
      <c r="I838" s="63"/>
    </row>
    <row r="839">
      <c r="I839" s="63"/>
    </row>
    <row r="840">
      <c r="I840" s="63"/>
    </row>
    <row r="841">
      <c r="I841" s="63"/>
    </row>
    <row r="842">
      <c r="I842" s="63"/>
    </row>
    <row r="843">
      <c r="I843" s="63"/>
    </row>
    <row r="844">
      <c r="I844" s="63"/>
    </row>
    <row r="845">
      <c r="I845" s="63"/>
    </row>
    <row r="846">
      <c r="I846" s="63"/>
    </row>
    <row r="847">
      <c r="I847" s="63"/>
    </row>
    <row r="848">
      <c r="I848" s="63"/>
    </row>
    <row r="849">
      <c r="I849" s="63"/>
    </row>
    <row r="850">
      <c r="I850" s="63"/>
    </row>
    <row r="851">
      <c r="I851" s="63"/>
    </row>
    <row r="852">
      <c r="I852" s="63"/>
    </row>
    <row r="853">
      <c r="I853" s="63"/>
    </row>
    <row r="854">
      <c r="I854" s="63"/>
    </row>
    <row r="855">
      <c r="I855" s="63"/>
    </row>
    <row r="856">
      <c r="I856" s="63"/>
    </row>
    <row r="857">
      <c r="I857" s="63"/>
    </row>
    <row r="858">
      <c r="I858" s="63"/>
    </row>
    <row r="859">
      <c r="I859" s="63"/>
    </row>
    <row r="860">
      <c r="I860" s="63"/>
    </row>
    <row r="861">
      <c r="I861" s="63"/>
    </row>
    <row r="862">
      <c r="I862" s="63"/>
    </row>
    <row r="863">
      <c r="I863" s="63"/>
    </row>
    <row r="864">
      <c r="I864" s="63"/>
    </row>
    <row r="865">
      <c r="I865" s="63"/>
    </row>
    <row r="866">
      <c r="I866" s="63"/>
    </row>
    <row r="867">
      <c r="I867" s="63"/>
    </row>
    <row r="868">
      <c r="I868" s="63"/>
    </row>
    <row r="869">
      <c r="I869" s="63"/>
    </row>
    <row r="870">
      <c r="I870" s="63"/>
    </row>
    <row r="871">
      <c r="I871" s="63"/>
    </row>
    <row r="872">
      <c r="I872" s="63"/>
    </row>
    <row r="873">
      <c r="I873" s="63"/>
    </row>
    <row r="874">
      <c r="I874" s="63"/>
    </row>
    <row r="875">
      <c r="I875" s="63"/>
    </row>
    <row r="876">
      <c r="I876" s="63"/>
    </row>
    <row r="877">
      <c r="I877" s="63"/>
    </row>
    <row r="878">
      <c r="I878" s="63"/>
    </row>
    <row r="879">
      <c r="I879" s="63"/>
    </row>
    <row r="880">
      <c r="I880" s="63"/>
    </row>
    <row r="881">
      <c r="I881" s="63"/>
    </row>
    <row r="882">
      <c r="I882" s="63"/>
    </row>
    <row r="883">
      <c r="I883" s="63"/>
    </row>
    <row r="884">
      <c r="I884" s="63"/>
    </row>
    <row r="885">
      <c r="I885" s="63"/>
    </row>
    <row r="886">
      <c r="I886" s="63"/>
    </row>
    <row r="887">
      <c r="I887" s="63"/>
    </row>
    <row r="888">
      <c r="I888" s="63"/>
    </row>
    <row r="889">
      <c r="I889" s="63"/>
    </row>
    <row r="890">
      <c r="I890" s="63"/>
    </row>
    <row r="891">
      <c r="I891" s="63"/>
    </row>
    <row r="892">
      <c r="I892" s="63"/>
    </row>
    <row r="893">
      <c r="I893" s="63"/>
    </row>
    <row r="894">
      <c r="I894" s="63"/>
    </row>
    <row r="895">
      <c r="I895" s="63"/>
    </row>
    <row r="896">
      <c r="I896" s="63"/>
    </row>
    <row r="897">
      <c r="I897" s="63"/>
    </row>
    <row r="898">
      <c r="I898" s="63"/>
    </row>
    <row r="899">
      <c r="I899" s="63"/>
    </row>
    <row r="900">
      <c r="I900" s="63"/>
    </row>
    <row r="901">
      <c r="I901" s="63"/>
    </row>
    <row r="902">
      <c r="I902" s="63"/>
    </row>
    <row r="903">
      <c r="I903" s="63"/>
    </row>
    <row r="904">
      <c r="I904" s="63"/>
    </row>
    <row r="905">
      <c r="I905" s="63"/>
    </row>
    <row r="906">
      <c r="I906" s="63"/>
    </row>
    <row r="907">
      <c r="I907" s="63"/>
    </row>
    <row r="908">
      <c r="I908" s="63"/>
    </row>
    <row r="909">
      <c r="I909" s="63"/>
    </row>
    <row r="910">
      <c r="I910" s="63"/>
    </row>
    <row r="911">
      <c r="I911" s="63"/>
    </row>
    <row r="912">
      <c r="I912" s="63"/>
    </row>
    <row r="913">
      <c r="I913" s="63"/>
    </row>
    <row r="914">
      <c r="I914" s="63"/>
    </row>
    <row r="915">
      <c r="I915" s="63"/>
    </row>
    <row r="916">
      <c r="I916" s="63"/>
    </row>
    <row r="917">
      <c r="I917" s="63"/>
    </row>
    <row r="918">
      <c r="I918" s="63"/>
    </row>
    <row r="919">
      <c r="I919" s="63"/>
    </row>
    <row r="920">
      <c r="I920" s="63"/>
    </row>
    <row r="921">
      <c r="I921" s="63"/>
    </row>
    <row r="922">
      <c r="I922" s="63"/>
    </row>
    <row r="923">
      <c r="I923" s="63"/>
    </row>
    <row r="924">
      <c r="I924" s="63"/>
    </row>
    <row r="925">
      <c r="I925" s="63"/>
    </row>
    <row r="926">
      <c r="I926" s="63"/>
    </row>
    <row r="927">
      <c r="I927" s="63"/>
    </row>
    <row r="928">
      <c r="I928" s="63"/>
    </row>
    <row r="929">
      <c r="I929" s="63"/>
    </row>
    <row r="930">
      <c r="I930" s="63"/>
    </row>
    <row r="931">
      <c r="I931" s="63"/>
    </row>
    <row r="932">
      <c r="I932" s="63"/>
    </row>
    <row r="933">
      <c r="I933" s="63"/>
    </row>
    <row r="934">
      <c r="I934" s="63"/>
    </row>
    <row r="935">
      <c r="I935" s="63"/>
    </row>
    <row r="936">
      <c r="I936" s="63"/>
    </row>
    <row r="937">
      <c r="I937" s="63"/>
    </row>
    <row r="938">
      <c r="I938" s="63"/>
    </row>
    <row r="939">
      <c r="I939" s="63"/>
    </row>
    <row r="940">
      <c r="I940" s="63"/>
    </row>
    <row r="941">
      <c r="I941" s="63"/>
    </row>
    <row r="942">
      <c r="I942" s="63"/>
    </row>
    <row r="943">
      <c r="I943" s="63"/>
    </row>
    <row r="944">
      <c r="I944" s="63"/>
    </row>
    <row r="945">
      <c r="I945" s="63"/>
    </row>
    <row r="946">
      <c r="I946" s="63"/>
    </row>
    <row r="947">
      <c r="I947" s="63"/>
    </row>
    <row r="948">
      <c r="I948" s="63"/>
    </row>
    <row r="949">
      <c r="I949" s="63"/>
    </row>
    <row r="950">
      <c r="I950" s="63"/>
    </row>
    <row r="951">
      <c r="I951" s="63"/>
    </row>
    <row r="952">
      <c r="I952" s="63"/>
    </row>
    <row r="953">
      <c r="I953" s="63"/>
    </row>
    <row r="954">
      <c r="I954" s="63"/>
    </row>
    <row r="955">
      <c r="I955" s="63"/>
    </row>
    <row r="956">
      <c r="I956" s="63"/>
    </row>
    <row r="957">
      <c r="I957" s="63"/>
    </row>
    <row r="958">
      <c r="I958" s="63"/>
    </row>
    <row r="959">
      <c r="I959" s="63"/>
    </row>
    <row r="960">
      <c r="I960" s="63"/>
    </row>
    <row r="961">
      <c r="I961" s="63"/>
    </row>
    <row r="962">
      <c r="I962" s="63"/>
    </row>
    <row r="963">
      <c r="I963" s="63"/>
    </row>
    <row r="964">
      <c r="I964" s="63"/>
    </row>
    <row r="965">
      <c r="I965" s="63"/>
    </row>
    <row r="966">
      <c r="I966" s="63"/>
    </row>
    <row r="967">
      <c r="I967" s="63"/>
    </row>
    <row r="968">
      <c r="I968" s="63"/>
    </row>
    <row r="969">
      <c r="I969" s="63"/>
    </row>
    <row r="970">
      <c r="I970" s="63"/>
    </row>
    <row r="971">
      <c r="I971" s="63"/>
    </row>
    <row r="972">
      <c r="I972" s="63"/>
    </row>
    <row r="973">
      <c r="I973" s="63"/>
    </row>
    <row r="974">
      <c r="I974" s="63"/>
    </row>
    <row r="975">
      <c r="I975" s="63"/>
    </row>
    <row r="976">
      <c r="I976" s="63"/>
    </row>
    <row r="977">
      <c r="I977" s="63"/>
    </row>
    <row r="978">
      <c r="I978" s="63"/>
    </row>
    <row r="979">
      <c r="I979" s="63"/>
    </row>
    <row r="980">
      <c r="I980" s="63"/>
    </row>
    <row r="981">
      <c r="I981" s="63"/>
    </row>
    <row r="982">
      <c r="I982" s="63"/>
    </row>
    <row r="983">
      <c r="I983" s="63"/>
    </row>
    <row r="984">
      <c r="I984" s="63"/>
    </row>
    <row r="985">
      <c r="I985" s="63"/>
    </row>
    <row r="986">
      <c r="I986" s="63"/>
    </row>
    <row r="987">
      <c r="I987" s="63"/>
    </row>
    <row r="988">
      <c r="I988" s="63"/>
    </row>
    <row r="989">
      <c r="I989" s="63"/>
    </row>
    <row r="990">
      <c r="I990" s="63"/>
    </row>
    <row r="991">
      <c r="I991" s="63"/>
    </row>
    <row r="992">
      <c r="I992" s="63"/>
    </row>
    <row r="993">
      <c r="I993" s="63"/>
    </row>
    <row r="994">
      <c r="I994" s="63"/>
    </row>
    <row r="995">
      <c r="I995" s="63"/>
    </row>
    <row r="996">
      <c r="I996" s="63"/>
    </row>
    <row r="997">
      <c r="I997" s="63"/>
    </row>
    <row r="998">
      <c r="I998" s="63"/>
    </row>
    <row r="999">
      <c r="I999" s="63"/>
    </row>
    <row r="1000">
      <c r="I1000" s="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H1" s="63"/>
    </row>
    <row r="2">
      <c r="H2" s="63"/>
    </row>
    <row r="3">
      <c r="H3" s="63"/>
    </row>
    <row r="4">
      <c r="H4" s="63"/>
    </row>
    <row r="5">
      <c r="H5" s="63"/>
    </row>
    <row r="6">
      <c r="H6" s="63"/>
    </row>
    <row r="7">
      <c r="H7" s="63"/>
    </row>
    <row r="8">
      <c r="H8" s="63"/>
    </row>
    <row r="9">
      <c r="H9" s="63"/>
    </row>
    <row r="10">
      <c r="H10" s="63"/>
    </row>
    <row r="11">
      <c r="H11" s="63"/>
    </row>
    <row r="12">
      <c r="H12" s="63"/>
    </row>
    <row r="13">
      <c r="H13" s="63"/>
    </row>
    <row r="14">
      <c r="H14" s="63"/>
    </row>
    <row r="15">
      <c r="H15" s="63"/>
    </row>
    <row r="16">
      <c r="H16" s="63"/>
    </row>
    <row r="17">
      <c r="H17" s="63"/>
    </row>
    <row r="18">
      <c r="H18" s="63"/>
    </row>
    <row r="19">
      <c r="H19" s="63"/>
    </row>
    <row r="20">
      <c r="H20" s="63"/>
    </row>
    <row r="21">
      <c r="H21" s="63"/>
    </row>
    <row r="22">
      <c r="H22" s="63"/>
    </row>
    <row r="23">
      <c r="H23" s="63"/>
    </row>
    <row r="24">
      <c r="A24" s="51" t="s">
        <v>83</v>
      </c>
      <c r="H24" s="63"/>
    </row>
    <row r="25">
      <c r="A25" s="52" t="s">
        <v>91</v>
      </c>
      <c r="H25" s="63"/>
    </row>
    <row r="26">
      <c r="A26" s="52" t="s">
        <v>92</v>
      </c>
      <c r="H26" s="63"/>
    </row>
    <row r="27">
      <c r="A27" s="52" t="s">
        <v>93</v>
      </c>
      <c r="H27" s="63"/>
    </row>
    <row r="28">
      <c r="A28" s="63"/>
      <c r="H28" s="63"/>
    </row>
    <row r="29">
      <c r="H29" s="63"/>
    </row>
    <row r="30">
      <c r="H30" s="63"/>
    </row>
    <row r="31">
      <c r="H31" s="63"/>
    </row>
    <row r="32">
      <c r="H32" s="63"/>
    </row>
    <row r="33">
      <c r="H33" s="63"/>
    </row>
    <row r="34">
      <c r="H34" s="63"/>
    </row>
    <row r="35">
      <c r="H35" s="63"/>
    </row>
    <row r="36">
      <c r="H36" s="63"/>
    </row>
    <row r="37">
      <c r="H37" s="63"/>
    </row>
    <row r="38">
      <c r="H38" s="63"/>
    </row>
    <row r="39">
      <c r="H39" s="63"/>
    </row>
    <row r="40">
      <c r="H40" s="63"/>
    </row>
    <row r="41">
      <c r="H41" s="63"/>
    </row>
    <row r="42">
      <c r="H42" s="63"/>
    </row>
    <row r="43">
      <c r="H43" s="63"/>
    </row>
    <row r="44">
      <c r="H44" s="63"/>
    </row>
    <row r="45">
      <c r="H45" s="63"/>
    </row>
    <row r="46">
      <c r="H46" s="63"/>
    </row>
    <row r="47">
      <c r="H47" s="63"/>
    </row>
    <row r="48">
      <c r="H48" s="63"/>
    </row>
    <row r="49">
      <c r="H49" s="63"/>
    </row>
    <row r="50">
      <c r="H50" s="63"/>
    </row>
    <row r="51">
      <c r="H51" s="63"/>
    </row>
    <row r="52">
      <c r="H52" s="63"/>
    </row>
    <row r="53">
      <c r="H53" s="63"/>
    </row>
    <row r="54">
      <c r="H54" s="63"/>
    </row>
    <row r="55">
      <c r="H55" s="63"/>
    </row>
    <row r="56">
      <c r="H56" s="63"/>
    </row>
    <row r="57">
      <c r="H57" s="63"/>
    </row>
    <row r="58">
      <c r="H58" s="63"/>
    </row>
    <row r="59">
      <c r="H59" s="63"/>
    </row>
    <row r="60">
      <c r="H60" s="63"/>
    </row>
    <row r="61">
      <c r="H61" s="63"/>
    </row>
    <row r="62">
      <c r="H62" s="63"/>
    </row>
    <row r="63">
      <c r="H63" s="63"/>
    </row>
    <row r="64">
      <c r="H64" s="63"/>
    </row>
    <row r="65">
      <c r="H65" s="63"/>
    </row>
    <row r="66">
      <c r="H66" s="63"/>
    </row>
    <row r="67">
      <c r="H67" s="63"/>
    </row>
    <row r="68">
      <c r="H68" s="63"/>
    </row>
    <row r="69">
      <c r="H69" s="63"/>
    </row>
    <row r="70">
      <c r="H70" s="63"/>
    </row>
    <row r="71">
      <c r="H71" s="63"/>
    </row>
    <row r="72">
      <c r="H72" s="63"/>
    </row>
    <row r="73">
      <c r="H73" s="63"/>
    </row>
    <row r="74">
      <c r="H74" s="63"/>
    </row>
    <row r="75">
      <c r="H75" s="63"/>
    </row>
    <row r="76">
      <c r="H76" s="63"/>
    </row>
    <row r="77">
      <c r="H77" s="63"/>
    </row>
    <row r="78">
      <c r="H78" s="63"/>
    </row>
    <row r="79">
      <c r="H79" s="63"/>
    </row>
    <row r="80">
      <c r="H80" s="63"/>
    </row>
    <row r="81">
      <c r="H81" s="63"/>
    </row>
    <row r="82">
      <c r="H82" s="63"/>
    </row>
    <row r="83">
      <c r="H83" s="63"/>
    </row>
    <row r="84">
      <c r="H84" s="63"/>
    </row>
    <row r="85">
      <c r="H85" s="63"/>
    </row>
    <row r="86">
      <c r="H86" s="63"/>
    </row>
    <row r="87">
      <c r="H87" s="63"/>
    </row>
    <row r="88">
      <c r="H88" s="63"/>
    </row>
    <row r="89">
      <c r="H89" s="63"/>
    </row>
    <row r="90">
      <c r="H90" s="63"/>
    </row>
    <row r="91">
      <c r="H91" s="63"/>
    </row>
    <row r="92">
      <c r="H92" s="63"/>
    </row>
    <row r="93">
      <c r="H93" s="63"/>
    </row>
    <row r="94">
      <c r="H94" s="63"/>
    </row>
    <row r="95">
      <c r="H95" s="63"/>
    </row>
    <row r="96">
      <c r="H96" s="63"/>
    </row>
    <row r="97">
      <c r="H97" s="63"/>
    </row>
    <row r="98">
      <c r="H98" s="63"/>
    </row>
    <row r="99">
      <c r="H99" s="63"/>
    </row>
    <row r="100">
      <c r="H100" s="63"/>
    </row>
    <row r="101">
      <c r="H101" s="63"/>
    </row>
    <row r="102">
      <c r="H102" s="63"/>
    </row>
    <row r="103">
      <c r="H103" s="63"/>
    </row>
    <row r="104">
      <c r="H104" s="63"/>
    </row>
    <row r="105">
      <c r="H105" s="63"/>
    </row>
    <row r="106">
      <c r="H106" s="63"/>
    </row>
    <row r="107">
      <c r="H107" s="63"/>
    </row>
    <row r="108">
      <c r="H108" s="63"/>
    </row>
    <row r="109">
      <c r="H109" s="63"/>
    </row>
    <row r="110">
      <c r="H110" s="63"/>
    </row>
    <row r="111">
      <c r="H111" s="63"/>
    </row>
    <row r="112">
      <c r="H112" s="63"/>
    </row>
    <row r="113">
      <c r="H113" s="63"/>
    </row>
    <row r="114">
      <c r="H114" s="63"/>
    </row>
    <row r="115">
      <c r="H115" s="63"/>
    </row>
    <row r="116">
      <c r="H116" s="63"/>
    </row>
    <row r="117">
      <c r="H117" s="63"/>
    </row>
    <row r="118">
      <c r="H118" s="63"/>
    </row>
    <row r="119">
      <c r="H119" s="63"/>
    </row>
    <row r="120">
      <c r="H120" s="63"/>
    </row>
    <row r="121">
      <c r="H121" s="63"/>
    </row>
    <row r="122">
      <c r="H122" s="63"/>
    </row>
    <row r="123">
      <c r="H123" s="63"/>
    </row>
    <row r="124">
      <c r="H124" s="63"/>
    </row>
    <row r="125">
      <c r="H125" s="63"/>
    </row>
    <row r="126">
      <c r="H126" s="63"/>
    </row>
    <row r="127">
      <c r="H127" s="63"/>
    </row>
    <row r="128">
      <c r="H128" s="63"/>
    </row>
    <row r="129">
      <c r="H129" s="63"/>
    </row>
    <row r="130">
      <c r="H130" s="63"/>
    </row>
    <row r="131">
      <c r="H131" s="63"/>
    </row>
    <row r="132">
      <c r="H132" s="63"/>
    </row>
    <row r="133">
      <c r="H133" s="63"/>
    </row>
    <row r="134">
      <c r="H134" s="63"/>
    </row>
    <row r="135">
      <c r="H135" s="63"/>
    </row>
    <row r="136">
      <c r="H136" s="63"/>
    </row>
    <row r="137">
      <c r="H137" s="63"/>
    </row>
    <row r="138">
      <c r="H138" s="63"/>
    </row>
    <row r="139">
      <c r="H139" s="63"/>
    </row>
    <row r="140">
      <c r="H140" s="63"/>
    </row>
    <row r="141">
      <c r="H141" s="63"/>
    </row>
    <row r="142">
      <c r="H142" s="63"/>
    </row>
    <row r="143">
      <c r="H143" s="63"/>
    </row>
    <row r="144">
      <c r="H144" s="63"/>
    </row>
    <row r="145">
      <c r="H145" s="63"/>
    </row>
    <row r="146">
      <c r="H146" s="63"/>
    </row>
    <row r="147">
      <c r="H147" s="63"/>
    </row>
    <row r="148">
      <c r="H148" s="63"/>
    </row>
    <row r="149">
      <c r="H149" s="63"/>
    </row>
    <row r="150">
      <c r="H150" s="63"/>
    </row>
    <row r="151">
      <c r="H151" s="63"/>
    </row>
    <row r="152">
      <c r="H152" s="63"/>
    </row>
    <row r="153">
      <c r="H153" s="63"/>
    </row>
    <row r="154">
      <c r="H154" s="63"/>
    </row>
    <row r="155">
      <c r="H155" s="63"/>
    </row>
    <row r="156">
      <c r="H156" s="63"/>
    </row>
    <row r="157">
      <c r="H157" s="63"/>
    </row>
    <row r="158">
      <c r="H158" s="63"/>
    </row>
    <row r="159">
      <c r="H159" s="63"/>
    </row>
    <row r="160">
      <c r="H160" s="63"/>
    </row>
    <row r="161">
      <c r="H161" s="63"/>
    </row>
    <row r="162">
      <c r="H162" s="63"/>
    </row>
    <row r="163">
      <c r="H163" s="63"/>
    </row>
    <row r="164">
      <c r="H164" s="63"/>
    </row>
    <row r="165">
      <c r="H165" s="63"/>
    </row>
    <row r="166">
      <c r="H166" s="63"/>
    </row>
    <row r="167">
      <c r="H167" s="63"/>
    </row>
    <row r="168">
      <c r="H168" s="63"/>
    </row>
    <row r="169">
      <c r="H169" s="63"/>
    </row>
    <row r="170">
      <c r="H170" s="63"/>
    </row>
    <row r="171">
      <c r="H171" s="63"/>
    </row>
    <row r="172">
      <c r="H172" s="63"/>
    </row>
    <row r="173">
      <c r="H173" s="63"/>
    </row>
    <row r="174">
      <c r="H174" s="63"/>
    </row>
    <row r="175">
      <c r="H175" s="63"/>
    </row>
    <row r="176">
      <c r="H176" s="63"/>
    </row>
    <row r="177">
      <c r="H177" s="63"/>
    </row>
    <row r="178">
      <c r="H178" s="63"/>
    </row>
    <row r="179">
      <c r="H179" s="63"/>
    </row>
    <row r="180">
      <c r="H180" s="63"/>
    </row>
    <row r="181">
      <c r="H181" s="63"/>
    </row>
    <row r="182">
      <c r="H182" s="63"/>
    </row>
    <row r="183">
      <c r="H183" s="63"/>
    </row>
    <row r="184">
      <c r="H184" s="63"/>
    </row>
    <row r="185">
      <c r="H185" s="63"/>
    </row>
    <row r="186">
      <c r="H186" s="63"/>
    </row>
    <row r="187">
      <c r="H187" s="63"/>
    </row>
    <row r="188">
      <c r="H188" s="63"/>
    </row>
    <row r="189">
      <c r="H189" s="63"/>
    </row>
    <row r="190">
      <c r="H190" s="63"/>
    </row>
    <row r="191">
      <c r="H191" s="63"/>
    </row>
    <row r="192">
      <c r="H192" s="63"/>
    </row>
    <row r="193">
      <c r="H193" s="63"/>
    </row>
    <row r="194">
      <c r="H194" s="63"/>
    </row>
    <row r="195">
      <c r="H195" s="63"/>
    </row>
    <row r="196">
      <c r="H196" s="63"/>
    </row>
    <row r="197">
      <c r="H197" s="63"/>
    </row>
    <row r="198">
      <c r="H198" s="63"/>
    </row>
    <row r="199">
      <c r="H199" s="63"/>
    </row>
    <row r="200">
      <c r="H200" s="63"/>
    </row>
    <row r="201">
      <c r="H201" s="63"/>
    </row>
    <row r="202">
      <c r="H202" s="63"/>
    </row>
    <row r="203">
      <c r="H203" s="63"/>
    </row>
    <row r="204">
      <c r="H204" s="63"/>
    </row>
    <row r="205">
      <c r="H205" s="63"/>
    </row>
    <row r="206">
      <c r="H206" s="63"/>
    </row>
    <row r="207">
      <c r="H207" s="63"/>
    </row>
    <row r="208">
      <c r="H208" s="63"/>
    </row>
    <row r="209">
      <c r="H209" s="63"/>
    </row>
    <row r="210">
      <c r="H210" s="63"/>
    </row>
    <row r="211">
      <c r="H211" s="63"/>
    </row>
    <row r="212">
      <c r="H212" s="63"/>
    </row>
    <row r="213">
      <c r="H213" s="63"/>
    </row>
    <row r="214">
      <c r="H214" s="63"/>
    </row>
    <row r="215">
      <c r="H215" s="63"/>
    </row>
    <row r="216">
      <c r="H216" s="63"/>
    </row>
    <row r="217">
      <c r="H217" s="63"/>
    </row>
    <row r="218">
      <c r="H218" s="63"/>
    </row>
    <row r="219">
      <c r="H219" s="63"/>
    </row>
    <row r="220">
      <c r="H220" s="63"/>
    </row>
    <row r="221">
      <c r="H221" s="63"/>
    </row>
    <row r="222">
      <c r="H222" s="63"/>
    </row>
    <row r="223">
      <c r="H223" s="63"/>
    </row>
    <row r="224">
      <c r="H224" s="63"/>
    </row>
    <row r="225">
      <c r="H225" s="63"/>
    </row>
    <row r="226">
      <c r="H226" s="63"/>
    </row>
    <row r="227">
      <c r="H227" s="63"/>
    </row>
    <row r="228">
      <c r="H228" s="63"/>
    </row>
    <row r="229">
      <c r="H229" s="63"/>
    </row>
    <row r="230">
      <c r="H230" s="63"/>
    </row>
    <row r="231">
      <c r="H231" s="63"/>
    </row>
    <row r="232">
      <c r="H232" s="63"/>
    </row>
    <row r="233">
      <c r="H233" s="63"/>
    </row>
    <row r="234">
      <c r="H234" s="63"/>
    </row>
    <row r="235">
      <c r="H235" s="63"/>
    </row>
    <row r="236">
      <c r="H236" s="63"/>
    </row>
    <row r="237">
      <c r="H237" s="63"/>
    </row>
    <row r="238">
      <c r="H238" s="63"/>
    </row>
    <row r="239">
      <c r="H239" s="63"/>
    </row>
    <row r="240">
      <c r="H240" s="63"/>
    </row>
    <row r="241">
      <c r="H241" s="63"/>
    </row>
    <row r="242">
      <c r="H242" s="63"/>
    </row>
    <row r="243">
      <c r="H243" s="63"/>
    </row>
    <row r="244">
      <c r="H244" s="63"/>
    </row>
    <row r="245">
      <c r="H245" s="63"/>
    </row>
    <row r="246">
      <c r="H246" s="63"/>
    </row>
    <row r="247">
      <c r="H247" s="63"/>
    </row>
    <row r="248">
      <c r="H248" s="63"/>
    </row>
    <row r="249">
      <c r="H249" s="63"/>
    </row>
    <row r="250">
      <c r="H250" s="63"/>
    </row>
    <row r="251">
      <c r="H251" s="63"/>
    </row>
    <row r="252">
      <c r="H252" s="63"/>
    </row>
    <row r="253">
      <c r="H253" s="63"/>
    </row>
    <row r="254">
      <c r="H254" s="63"/>
    </row>
    <row r="255">
      <c r="H255" s="63"/>
    </row>
    <row r="256">
      <c r="H256" s="63"/>
    </row>
    <row r="257">
      <c r="H257" s="63"/>
    </row>
    <row r="258">
      <c r="H258" s="63"/>
    </row>
    <row r="259">
      <c r="H259" s="63"/>
    </row>
    <row r="260">
      <c r="H260" s="63"/>
    </row>
    <row r="261">
      <c r="H261" s="63"/>
    </row>
    <row r="262">
      <c r="H262" s="63"/>
    </row>
    <row r="263">
      <c r="H263" s="63"/>
    </row>
    <row r="264">
      <c r="H264" s="63"/>
    </row>
    <row r="265">
      <c r="H265" s="63"/>
    </row>
    <row r="266">
      <c r="H266" s="63"/>
    </row>
    <row r="267">
      <c r="H267" s="63"/>
    </row>
    <row r="268">
      <c r="H268" s="63"/>
    </row>
    <row r="269">
      <c r="H269" s="63"/>
    </row>
    <row r="270">
      <c r="H270" s="63"/>
    </row>
    <row r="271">
      <c r="H271" s="63"/>
    </row>
    <row r="272">
      <c r="H272" s="63"/>
    </row>
    <row r="273">
      <c r="H273" s="63"/>
    </row>
    <row r="274">
      <c r="H274" s="63"/>
    </row>
    <row r="275">
      <c r="H275" s="63"/>
    </row>
    <row r="276">
      <c r="H276" s="63"/>
    </row>
    <row r="277">
      <c r="H277" s="63"/>
    </row>
    <row r="278">
      <c r="H278" s="63"/>
    </row>
    <row r="279">
      <c r="H279" s="63"/>
    </row>
    <row r="280">
      <c r="H280" s="63"/>
    </row>
    <row r="281">
      <c r="H281" s="63"/>
    </row>
    <row r="282">
      <c r="H282" s="63"/>
    </row>
    <row r="283">
      <c r="H283" s="63"/>
    </row>
    <row r="284">
      <c r="H284" s="63"/>
    </row>
    <row r="285">
      <c r="H285" s="63"/>
    </row>
    <row r="286">
      <c r="H286" s="63"/>
    </row>
    <row r="287">
      <c r="H287" s="63"/>
    </row>
    <row r="288">
      <c r="H288" s="63"/>
    </row>
    <row r="289">
      <c r="H289" s="63"/>
    </row>
    <row r="290">
      <c r="H290" s="63"/>
    </row>
    <row r="291">
      <c r="H291" s="63"/>
    </row>
    <row r="292">
      <c r="H292" s="63"/>
    </row>
    <row r="293">
      <c r="H293" s="63"/>
    </row>
    <row r="294">
      <c r="H294" s="63"/>
    </row>
    <row r="295">
      <c r="H295" s="63"/>
    </row>
    <row r="296">
      <c r="H296" s="63"/>
    </row>
    <row r="297">
      <c r="H297" s="63"/>
    </row>
    <row r="298">
      <c r="H298" s="63"/>
    </row>
    <row r="299">
      <c r="H299" s="63"/>
    </row>
    <row r="300">
      <c r="H300" s="63"/>
    </row>
    <row r="301">
      <c r="H301" s="63"/>
    </row>
    <row r="302">
      <c r="H302" s="63"/>
    </row>
    <row r="303">
      <c r="H303" s="63"/>
    </row>
    <row r="304">
      <c r="H304" s="63"/>
    </row>
    <row r="305">
      <c r="H305" s="63"/>
    </row>
    <row r="306">
      <c r="H306" s="63"/>
    </row>
    <row r="307">
      <c r="H307" s="63"/>
    </row>
    <row r="308">
      <c r="H308" s="63"/>
    </row>
    <row r="309">
      <c r="H309" s="63"/>
    </row>
    <row r="310">
      <c r="H310" s="63"/>
    </row>
    <row r="311">
      <c r="H311" s="63"/>
    </row>
    <row r="312">
      <c r="H312" s="63"/>
    </row>
    <row r="313">
      <c r="H313" s="63"/>
    </row>
    <row r="314">
      <c r="H314" s="63"/>
    </row>
    <row r="315">
      <c r="H315" s="63"/>
    </row>
    <row r="316">
      <c r="H316" s="63"/>
    </row>
    <row r="317">
      <c r="H317" s="63"/>
    </row>
    <row r="318">
      <c r="H318" s="63"/>
    </row>
    <row r="319">
      <c r="H319" s="63"/>
    </row>
    <row r="320">
      <c r="H320" s="63"/>
    </row>
    <row r="321">
      <c r="H321" s="63"/>
    </row>
    <row r="322">
      <c r="H322" s="63"/>
    </row>
    <row r="323">
      <c r="H323" s="63"/>
    </row>
    <row r="324">
      <c r="H324" s="63"/>
    </row>
    <row r="325">
      <c r="H325" s="63"/>
    </row>
    <row r="326">
      <c r="H326" s="63"/>
    </row>
    <row r="327">
      <c r="H327" s="63"/>
    </row>
    <row r="328">
      <c r="H328" s="63"/>
    </row>
    <row r="329">
      <c r="H329" s="63"/>
    </row>
    <row r="330">
      <c r="H330" s="63"/>
    </row>
    <row r="331">
      <c r="H331" s="63"/>
    </row>
    <row r="332">
      <c r="H332" s="63"/>
    </row>
    <row r="333">
      <c r="H333" s="63"/>
    </row>
    <row r="334">
      <c r="H334" s="63"/>
    </row>
    <row r="335">
      <c r="H335" s="63"/>
    </row>
    <row r="336">
      <c r="H336" s="63"/>
    </row>
    <row r="337">
      <c r="H337" s="63"/>
    </row>
    <row r="338">
      <c r="H338" s="63"/>
    </row>
    <row r="339">
      <c r="H339" s="63"/>
    </row>
    <row r="340">
      <c r="H340" s="63"/>
    </row>
    <row r="341">
      <c r="H341" s="63"/>
    </row>
    <row r="342">
      <c r="H342" s="63"/>
    </row>
    <row r="343">
      <c r="H343" s="63"/>
    </row>
    <row r="344">
      <c r="H344" s="63"/>
    </row>
    <row r="345">
      <c r="H345" s="63"/>
    </row>
    <row r="346">
      <c r="H346" s="63"/>
    </row>
    <row r="347">
      <c r="H347" s="63"/>
    </row>
    <row r="348">
      <c r="H348" s="63"/>
    </row>
    <row r="349">
      <c r="H349" s="63"/>
    </row>
    <row r="350">
      <c r="H350" s="63"/>
    </row>
    <row r="351">
      <c r="H351" s="63"/>
    </row>
    <row r="352">
      <c r="H352" s="63"/>
    </row>
    <row r="353">
      <c r="H353" s="63"/>
    </row>
    <row r="354">
      <c r="H354" s="63"/>
    </row>
    <row r="355">
      <c r="H355" s="63"/>
    </row>
    <row r="356">
      <c r="H356" s="63"/>
    </row>
    <row r="357">
      <c r="H357" s="63"/>
    </row>
    <row r="358">
      <c r="H358" s="63"/>
    </row>
    <row r="359">
      <c r="H359" s="63"/>
    </row>
    <row r="360">
      <c r="H360" s="63"/>
    </row>
    <row r="361">
      <c r="H361" s="63"/>
    </row>
    <row r="362">
      <c r="H362" s="63"/>
    </row>
    <row r="363">
      <c r="H363" s="63"/>
    </row>
    <row r="364">
      <c r="H364" s="63"/>
    </row>
    <row r="365">
      <c r="H365" s="63"/>
    </row>
    <row r="366">
      <c r="H366" s="63"/>
    </row>
    <row r="367">
      <c r="H367" s="63"/>
    </row>
    <row r="368">
      <c r="H368" s="63"/>
    </row>
    <row r="369">
      <c r="H369" s="63"/>
    </row>
    <row r="370">
      <c r="H370" s="63"/>
    </row>
    <row r="371">
      <c r="H371" s="63"/>
    </row>
    <row r="372">
      <c r="H372" s="63"/>
    </row>
    <row r="373">
      <c r="H373" s="63"/>
    </row>
    <row r="374">
      <c r="H374" s="63"/>
    </row>
    <row r="375">
      <c r="H375" s="63"/>
    </row>
    <row r="376">
      <c r="H376" s="63"/>
    </row>
    <row r="377">
      <c r="H377" s="63"/>
    </row>
    <row r="378">
      <c r="H378" s="63"/>
    </row>
    <row r="379">
      <c r="H379" s="63"/>
    </row>
    <row r="380">
      <c r="H380" s="63"/>
    </row>
    <row r="381">
      <c r="H381" s="63"/>
    </row>
    <row r="382">
      <c r="H382" s="63"/>
    </row>
    <row r="383">
      <c r="H383" s="63"/>
    </row>
    <row r="384">
      <c r="H384" s="63"/>
    </row>
    <row r="385">
      <c r="H385" s="63"/>
    </row>
    <row r="386">
      <c r="H386" s="63"/>
    </row>
    <row r="387">
      <c r="H387" s="63"/>
    </row>
    <row r="388">
      <c r="H388" s="63"/>
    </row>
    <row r="389">
      <c r="H389" s="63"/>
    </row>
    <row r="390">
      <c r="H390" s="63"/>
    </row>
    <row r="391">
      <c r="H391" s="63"/>
    </row>
    <row r="392">
      <c r="H392" s="63"/>
    </row>
    <row r="393">
      <c r="H393" s="63"/>
    </row>
    <row r="394">
      <c r="H394" s="63"/>
    </row>
    <row r="395">
      <c r="H395" s="63"/>
    </row>
    <row r="396">
      <c r="H396" s="63"/>
    </row>
    <row r="397">
      <c r="H397" s="63"/>
    </row>
    <row r="398">
      <c r="H398" s="63"/>
    </row>
    <row r="399">
      <c r="H399" s="63"/>
    </row>
    <row r="400">
      <c r="H400" s="63"/>
    </row>
    <row r="401">
      <c r="H401" s="63"/>
    </row>
    <row r="402">
      <c r="H402" s="63"/>
    </row>
    <row r="403">
      <c r="H403" s="63"/>
    </row>
    <row r="404">
      <c r="H404" s="63"/>
    </row>
    <row r="405">
      <c r="H405" s="63"/>
    </row>
    <row r="406">
      <c r="H406" s="63"/>
    </row>
    <row r="407">
      <c r="H407" s="63"/>
    </row>
    <row r="408">
      <c r="H408" s="63"/>
    </row>
    <row r="409">
      <c r="H409" s="63"/>
    </row>
    <row r="410">
      <c r="H410" s="63"/>
    </row>
    <row r="411">
      <c r="H411" s="63"/>
    </row>
    <row r="412">
      <c r="H412" s="63"/>
    </row>
    <row r="413">
      <c r="H413" s="63"/>
    </row>
    <row r="414">
      <c r="H414" s="63"/>
    </row>
    <row r="415">
      <c r="H415" s="63"/>
    </row>
    <row r="416">
      <c r="H416" s="63"/>
    </row>
    <row r="417">
      <c r="H417" s="63"/>
    </row>
    <row r="418">
      <c r="H418" s="63"/>
    </row>
    <row r="419">
      <c r="H419" s="63"/>
    </row>
    <row r="420">
      <c r="H420" s="63"/>
    </row>
    <row r="421">
      <c r="H421" s="63"/>
    </row>
    <row r="422">
      <c r="H422" s="63"/>
    </row>
    <row r="423">
      <c r="H423" s="63"/>
    </row>
    <row r="424">
      <c r="H424" s="63"/>
    </row>
    <row r="425">
      <c r="H425" s="63"/>
    </row>
    <row r="426">
      <c r="H426" s="63"/>
    </row>
    <row r="427">
      <c r="H427" s="63"/>
    </row>
    <row r="428">
      <c r="H428" s="63"/>
    </row>
    <row r="429">
      <c r="H429" s="63"/>
    </row>
    <row r="430">
      <c r="H430" s="63"/>
    </row>
    <row r="431">
      <c r="H431" s="63"/>
    </row>
    <row r="432">
      <c r="H432" s="63"/>
    </row>
    <row r="433">
      <c r="H433" s="63"/>
    </row>
    <row r="434">
      <c r="H434" s="63"/>
    </row>
    <row r="435">
      <c r="H435" s="63"/>
    </row>
    <row r="436">
      <c r="H436" s="63"/>
    </row>
    <row r="437">
      <c r="H437" s="63"/>
    </row>
    <row r="438">
      <c r="H438" s="63"/>
    </row>
    <row r="439">
      <c r="H439" s="63"/>
    </row>
    <row r="440">
      <c r="H440" s="63"/>
    </row>
    <row r="441">
      <c r="H441" s="63"/>
    </row>
    <row r="442">
      <c r="H442" s="63"/>
    </row>
    <row r="443">
      <c r="H443" s="63"/>
    </row>
    <row r="444">
      <c r="H444" s="63"/>
    </row>
    <row r="445">
      <c r="H445" s="63"/>
    </row>
    <row r="446">
      <c r="H446" s="63"/>
    </row>
    <row r="447">
      <c r="H447" s="63"/>
    </row>
    <row r="448">
      <c r="H448" s="63"/>
    </row>
    <row r="449">
      <c r="H449" s="63"/>
    </row>
    <row r="450">
      <c r="H450" s="63"/>
    </row>
    <row r="451">
      <c r="H451" s="63"/>
    </row>
    <row r="452">
      <c r="H452" s="63"/>
    </row>
    <row r="453">
      <c r="H453" s="63"/>
    </row>
    <row r="454">
      <c r="H454" s="63"/>
    </row>
    <row r="455">
      <c r="H455" s="63"/>
    </row>
    <row r="456">
      <c r="H456" s="63"/>
    </row>
    <row r="457">
      <c r="H457" s="63"/>
    </row>
    <row r="458">
      <c r="H458" s="63"/>
    </row>
    <row r="459">
      <c r="H459" s="63"/>
    </row>
    <row r="460">
      <c r="H460" s="63"/>
    </row>
    <row r="461">
      <c r="H461" s="63"/>
    </row>
    <row r="462">
      <c r="H462" s="63"/>
    </row>
    <row r="463">
      <c r="H463" s="63"/>
    </row>
    <row r="464">
      <c r="H464" s="63"/>
    </row>
    <row r="465">
      <c r="H465" s="63"/>
    </row>
    <row r="466">
      <c r="H466" s="63"/>
    </row>
    <row r="467">
      <c r="H467" s="63"/>
    </row>
    <row r="468">
      <c r="H468" s="63"/>
    </row>
    <row r="469">
      <c r="H469" s="63"/>
    </row>
    <row r="470">
      <c r="H470" s="63"/>
    </row>
    <row r="471">
      <c r="H471" s="63"/>
    </row>
    <row r="472">
      <c r="H472" s="63"/>
    </row>
    <row r="473">
      <c r="H473" s="63"/>
    </row>
    <row r="474">
      <c r="H474" s="63"/>
    </row>
    <row r="475">
      <c r="H475" s="63"/>
    </row>
    <row r="476">
      <c r="H476" s="63"/>
    </row>
    <row r="477">
      <c r="H477" s="63"/>
    </row>
    <row r="478">
      <c r="H478" s="63"/>
    </row>
    <row r="479">
      <c r="H479" s="63"/>
    </row>
    <row r="480">
      <c r="H480" s="63"/>
    </row>
    <row r="481">
      <c r="H481" s="63"/>
    </row>
    <row r="482">
      <c r="H482" s="63"/>
    </row>
    <row r="483">
      <c r="H483" s="63"/>
    </row>
    <row r="484">
      <c r="H484" s="63"/>
    </row>
    <row r="485">
      <c r="H485" s="63"/>
    </row>
    <row r="486">
      <c r="H486" s="63"/>
    </row>
    <row r="487">
      <c r="H487" s="63"/>
    </row>
    <row r="488">
      <c r="H488" s="63"/>
    </row>
    <row r="489">
      <c r="H489" s="63"/>
    </row>
    <row r="490">
      <c r="H490" s="63"/>
    </row>
    <row r="491">
      <c r="H491" s="63"/>
    </row>
    <row r="492">
      <c r="H492" s="63"/>
    </row>
    <row r="493">
      <c r="H493" s="63"/>
    </row>
    <row r="494">
      <c r="H494" s="63"/>
    </row>
    <row r="495">
      <c r="H495" s="63"/>
    </row>
    <row r="496">
      <c r="H496" s="63"/>
    </row>
    <row r="497">
      <c r="H497" s="63"/>
    </row>
    <row r="498">
      <c r="H498" s="63"/>
    </row>
    <row r="499">
      <c r="H499" s="63"/>
    </row>
    <row r="500">
      <c r="H500" s="63"/>
    </row>
    <row r="501">
      <c r="H501" s="63"/>
    </row>
    <row r="502">
      <c r="H502" s="63"/>
    </row>
    <row r="503">
      <c r="H503" s="63"/>
    </row>
    <row r="504">
      <c r="H504" s="63"/>
    </row>
    <row r="505">
      <c r="H505" s="63"/>
    </row>
    <row r="506">
      <c r="H506" s="63"/>
    </row>
    <row r="507">
      <c r="H507" s="63"/>
    </row>
    <row r="508">
      <c r="H508" s="63"/>
    </row>
    <row r="509">
      <c r="H509" s="63"/>
    </row>
    <row r="510">
      <c r="H510" s="63"/>
    </row>
    <row r="511">
      <c r="H511" s="63"/>
    </row>
    <row r="512">
      <c r="H512" s="63"/>
    </row>
    <row r="513">
      <c r="H513" s="63"/>
    </row>
    <row r="514">
      <c r="H514" s="63"/>
    </row>
    <row r="515">
      <c r="H515" s="63"/>
    </row>
    <row r="516">
      <c r="H516" s="63"/>
    </row>
    <row r="517">
      <c r="H517" s="63"/>
    </row>
    <row r="518">
      <c r="H518" s="63"/>
    </row>
    <row r="519">
      <c r="H519" s="63"/>
    </row>
    <row r="520">
      <c r="H520" s="63"/>
    </row>
    <row r="521">
      <c r="H521" s="63"/>
    </row>
    <row r="522">
      <c r="H522" s="63"/>
    </row>
    <row r="523">
      <c r="H523" s="63"/>
    </row>
    <row r="524">
      <c r="H524" s="63"/>
    </row>
    <row r="525">
      <c r="H525" s="63"/>
    </row>
    <row r="526">
      <c r="H526" s="63"/>
    </row>
    <row r="527">
      <c r="H527" s="63"/>
    </row>
    <row r="528">
      <c r="H528" s="63"/>
    </row>
    <row r="529">
      <c r="H529" s="63"/>
    </row>
    <row r="530">
      <c r="H530" s="63"/>
    </row>
    <row r="531">
      <c r="H531" s="63"/>
    </row>
    <row r="532">
      <c r="H532" s="63"/>
    </row>
    <row r="533">
      <c r="H533" s="63"/>
    </row>
    <row r="534">
      <c r="H534" s="63"/>
    </row>
    <row r="535">
      <c r="H535" s="63"/>
    </row>
    <row r="536">
      <c r="H536" s="63"/>
    </row>
    <row r="537">
      <c r="H537" s="63"/>
    </row>
    <row r="538">
      <c r="H538" s="63"/>
    </row>
    <row r="539">
      <c r="H539" s="63"/>
    </row>
    <row r="540">
      <c r="H540" s="63"/>
    </row>
    <row r="541">
      <c r="H541" s="63"/>
    </row>
    <row r="542">
      <c r="H542" s="63"/>
    </row>
    <row r="543">
      <c r="H543" s="63"/>
    </row>
    <row r="544">
      <c r="H544" s="63"/>
    </row>
    <row r="545">
      <c r="H545" s="63"/>
    </row>
    <row r="546">
      <c r="H546" s="63"/>
    </row>
    <row r="547">
      <c r="H547" s="63"/>
    </row>
    <row r="548">
      <c r="H548" s="63"/>
    </row>
    <row r="549">
      <c r="H549" s="63"/>
    </row>
    <row r="550">
      <c r="H550" s="63"/>
    </row>
    <row r="551">
      <c r="H551" s="63"/>
    </row>
    <row r="552">
      <c r="H552" s="63"/>
    </row>
    <row r="553">
      <c r="H553" s="63"/>
    </row>
    <row r="554">
      <c r="H554" s="63"/>
    </row>
    <row r="555">
      <c r="H555" s="63"/>
    </row>
    <row r="556">
      <c r="H556" s="63"/>
    </row>
    <row r="557">
      <c r="H557" s="63"/>
    </row>
    <row r="558">
      <c r="H558" s="63"/>
    </row>
    <row r="559">
      <c r="H559" s="63"/>
    </row>
    <row r="560">
      <c r="H560" s="63"/>
    </row>
    <row r="561">
      <c r="H561" s="63"/>
    </row>
    <row r="562">
      <c r="H562" s="63"/>
    </row>
    <row r="563">
      <c r="H563" s="63"/>
    </row>
    <row r="564">
      <c r="H564" s="63"/>
    </row>
    <row r="565">
      <c r="H565" s="63"/>
    </row>
    <row r="566">
      <c r="H566" s="63"/>
    </row>
    <row r="567">
      <c r="H567" s="63"/>
    </row>
    <row r="568">
      <c r="H568" s="63"/>
    </row>
    <row r="569">
      <c r="H569" s="63"/>
    </row>
    <row r="570">
      <c r="H570" s="63"/>
    </row>
    <row r="571">
      <c r="H571" s="63"/>
    </row>
    <row r="572">
      <c r="H572" s="63"/>
    </row>
    <row r="573">
      <c r="H573" s="63"/>
    </row>
    <row r="574">
      <c r="H574" s="63"/>
    </row>
    <row r="575">
      <c r="H575" s="63"/>
    </row>
    <row r="576">
      <c r="H576" s="63"/>
    </row>
    <row r="577">
      <c r="H577" s="63"/>
    </row>
    <row r="578">
      <c r="H578" s="63"/>
    </row>
    <row r="579">
      <c r="H579" s="63"/>
    </row>
    <row r="580">
      <c r="H580" s="63"/>
    </row>
    <row r="581">
      <c r="H581" s="63"/>
    </row>
    <row r="582">
      <c r="H582" s="63"/>
    </row>
    <row r="583">
      <c r="H583" s="63"/>
    </row>
    <row r="584">
      <c r="H584" s="63"/>
    </row>
    <row r="585">
      <c r="H585" s="63"/>
    </row>
    <row r="586">
      <c r="H586" s="63"/>
    </row>
    <row r="587">
      <c r="H587" s="63"/>
    </row>
    <row r="588">
      <c r="H588" s="63"/>
    </row>
    <row r="589">
      <c r="H589" s="63"/>
    </row>
    <row r="590">
      <c r="H590" s="63"/>
    </row>
    <row r="591">
      <c r="H591" s="63"/>
    </row>
    <row r="592">
      <c r="H592" s="63"/>
    </row>
    <row r="593">
      <c r="H593" s="63"/>
    </row>
    <row r="594">
      <c r="H594" s="63"/>
    </row>
    <row r="595">
      <c r="H595" s="63"/>
    </row>
    <row r="596">
      <c r="H596" s="63"/>
    </row>
    <row r="597">
      <c r="H597" s="63"/>
    </row>
    <row r="598">
      <c r="H598" s="63"/>
    </row>
    <row r="599">
      <c r="H599" s="63"/>
    </row>
    <row r="600">
      <c r="H600" s="63"/>
    </row>
    <row r="601">
      <c r="H601" s="63"/>
    </row>
    <row r="602">
      <c r="H602" s="63"/>
    </row>
    <row r="603">
      <c r="H603" s="63"/>
    </row>
    <row r="604">
      <c r="H604" s="63"/>
    </row>
    <row r="605">
      <c r="H605" s="63"/>
    </row>
    <row r="606">
      <c r="H606" s="63"/>
    </row>
    <row r="607">
      <c r="H607" s="63"/>
    </row>
    <row r="608">
      <c r="H608" s="63"/>
    </row>
    <row r="609">
      <c r="H609" s="63"/>
    </row>
    <row r="610">
      <c r="H610" s="63"/>
    </row>
    <row r="611">
      <c r="H611" s="63"/>
    </row>
    <row r="612">
      <c r="H612" s="63"/>
    </row>
    <row r="613">
      <c r="H613" s="63"/>
    </row>
    <row r="614">
      <c r="H614" s="63"/>
    </row>
    <row r="615">
      <c r="H615" s="63"/>
    </row>
    <row r="616">
      <c r="H616" s="63"/>
    </row>
    <row r="617">
      <c r="H617" s="63"/>
    </row>
    <row r="618">
      <c r="H618" s="63"/>
    </row>
    <row r="619">
      <c r="H619" s="63"/>
    </row>
    <row r="620">
      <c r="H620" s="63"/>
    </row>
    <row r="621">
      <c r="H621" s="63"/>
    </row>
    <row r="622">
      <c r="H622" s="63"/>
    </row>
    <row r="623">
      <c r="H623" s="63"/>
    </row>
    <row r="624">
      <c r="H624" s="63"/>
    </row>
    <row r="625">
      <c r="H625" s="63"/>
    </row>
    <row r="626">
      <c r="H626" s="63"/>
    </row>
    <row r="627">
      <c r="H627" s="63"/>
    </row>
    <row r="628">
      <c r="H628" s="63"/>
    </row>
    <row r="629">
      <c r="H629" s="63"/>
    </row>
    <row r="630">
      <c r="H630" s="63"/>
    </row>
    <row r="631">
      <c r="H631" s="63"/>
    </row>
    <row r="632">
      <c r="H632" s="63"/>
    </row>
    <row r="633">
      <c r="H633" s="63"/>
    </row>
    <row r="634">
      <c r="H634" s="63"/>
    </row>
    <row r="635">
      <c r="H635" s="63"/>
    </row>
    <row r="636">
      <c r="H636" s="63"/>
    </row>
    <row r="637">
      <c r="H637" s="63"/>
    </row>
    <row r="638">
      <c r="H638" s="63"/>
    </row>
    <row r="639">
      <c r="H639" s="63"/>
    </row>
    <row r="640">
      <c r="H640" s="63"/>
    </row>
    <row r="641">
      <c r="H641" s="63"/>
    </row>
    <row r="642">
      <c r="H642" s="63"/>
    </row>
    <row r="643">
      <c r="H643" s="63"/>
    </row>
    <row r="644">
      <c r="H644" s="63"/>
    </row>
    <row r="645">
      <c r="H645" s="63"/>
    </row>
    <row r="646">
      <c r="H646" s="63"/>
    </row>
    <row r="647">
      <c r="H647" s="63"/>
    </row>
    <row r="648">
      <c r="H648" s="63"/>
    </row>
    <row r="649">
      <c r="H649" s="63"/>
    </row>
    <row r="650">
      <c r="H650" s="63"/>
    </row>
    <row r="651">
      <c r="H651" s="63"/>
    </row>
    <row r="652">
      <c r="H652" s="63"/>
    </row>
    <row r="653">
      <c r="H653" s="63"/>
    </row>
    <row r="654">
      <c r="H654" s="63"/>
    </row>
    <row r="655">
      <c r="H655" s="63"/>
    </row>
    <row r="656">
      <c r="H656" s="63"/>
    </row>
    <row r="657">
      <c r="H657" s="63"/>
    </row>
    <row r="658">
      <c r="H658" s="63"/>
    </row>
    <row r="659">
      <c r="H659" s="63"/>
    </row>
    <row r="660">
      <c r="H660" s="63"/>
    </row>
    <row r="661">
      <c r="H661" s="63"/>
    </row>
    <row r="662">
      <c r="H662" s="63"/>
    </row>
    <row r="663">
      <c r="H663" s="63"/>
    </row>
    <row r="664">
      <c r="H664" s="63"/>
    </row>
    <row r="665">
      <c r="H665" s="63"/>
    </row>
    <row r="666">
      <c r="H666" s="63"/>
    </row>
    <row r="667">
      <c r="H667" s="63"/>
    </row>
    <row r="668">
      <c r="H668" s="63"/>
    </row>
    <row r="669">
      <c r="H669" s="63"/>
    </row>
    <row r="670">
      <c r="H670" s="63"/>
    </row>
    <row r="671">
      <c r="H671" s="63"/>
    </row>
    <row r="672">
      <c r="H672" s="63"/>
    </row>
    <row r="673">
      <c r="H673" s="63"/>
    </row>
    <row r="674">
      <c r="H674" s="63"/>
    </row>
    <row r="675">
      <c r="H675" s="63"/>
    </row>
    <row r="676">
      <c r="H676" s="63"/>
    </row>
    <row r="677">
      <c r="H677" s="63"/>
    </row>
    <row r="678">
      <c r="H678" s="63"/>
    </row>
    <row r="679">
      <c r="H679" s="63"/>
    </row>
    <row r="680">
      <c r="H680" s="63"/>
    </row>
    <row r="681">
      <c r="H681" s="63"/>
    </row>
    <row r="682">
      <c r="H682" s="63"/>
    </row>
    <row r="683">
      <c r="H683" s="63"/>
    </row>
    <row r="684">
      <c r="H684" s="63"/>
    </row>
    <row r="685">
      <c r="H685" s="63"/>
    </row>
    <row r="686">
      <c r="H686" s="63"/>
    </row>
    <row r="687">
      <c r="H687" s="63"/>
    </row>
    <row r="688">
      <c r="H688" s="63"/>
    </row>
    <row r="689">
      <c r="H689" s="63"/>
    </row>
    <row r="690">
      <c r="H690" s="63"/>
    </row>
    <row r="691">
      <c r="H691" s="63"/>
    </row>
    <row r="692">
      <c r="H692" s="63"/>
    </row>
    <row r="693">
      <c r="H693" s="63"/>
    </row>
    <row r="694">
      <c r="H694" s="63"/>
    </row>
    <row r="695">
      <c r="H695" s="63"/>
    </row>
    <row r="696">
      <c r="H696" s="63"/>
    </row>
    <row r="697">
      <c r="H697" s="63"/>
    </row>
    <row r="698">
      <c r="H698" s="63"/>
    </row>
    <row r="699">
      <c r="H699" s="63"/>
    </row>
    <row r="700">
      <c r="H700" s="63"/>
    </row>
    <row r="701">
      <c r="H701" s="63"/>
    </row>
    <row r="702">
      <c r="H702" s="63"/>
    </row>
    <row r="703">
      <c r="H703" s="63"/>
    </row>
    <row r="704">
      <c r="H704" s="63"/>
    </row>
    <row r="705">
      <c r="H705" s="63"/>
    </row>
    <row r="706">
      <c r="H706" s="63"/>
    </row>
    <row r="707">
      <c r="H707" s="63"/>
    </row>
    <row r="708">
      <c r="H708" s="63"/>
    </row>
    <row r="709">
      <c r="H709" s="63"/>
    </row>
    <row r="710">
      <c r="H710" s="63"/>
    </row>
    <row r="711">
      <c r="H711" s="63"/>
    </row>
    <row r="712">
      <c r="H712" s="63"/>
    </row>
    <row r="713">
      <c r="H713" s="63"/>
    </row>
    <row r="714">
      <c r="H714" s="63"/>
    </row>
    <row r="715">
      <c r="H715" s="63"/>
    </row>
    <row r="716">
      <c r="H716" s="63"/>
    </row>
    <row r="717">
      <c r="H717" s="63"/>
    </row>
    <row r="718">
      <c r="H718" s="63"/>
    </row>
    <row r="719">
      <c r="H719" s="63"/>
    </row>
    <row r="720">
      <c r="H720" s="63"/>
    </row>
    <row r="721">
      <c r="H721" s="63"/>
    </row>
    <row r="722">
      <c r="H722" s="63"/>
    </row>
    <row r="723">
      <c r="H723" s="63"/>
    </row>
    <row r="724">
      <c r="H724" s="63"/>
    </row>
    <row r="725">
      <c r="H725" s="63"/>
    </row>
    <row r="726">
      <c r="H726" s="63"/>
    </row>
    <row r="727">
      <c r="H727" s="63"/>
    </row>
    <row r="728">
      <c r="H728" s="63"/>
    </row>
    <row r="729">
      <c r="H729" s="63"/>
    </row>
    <row r="730">
      <c r="H730" s="63"/>
    </row>
    <row r="731">
      <c r="H731" s="63"/>
    </row>
    <row r="732">
      <c r="H732" s="63"/>
    </row>
    <row r="733">
      <c r="H733" s="63"/>
    </row>
    <row r="734">
      <c r="H734" s="63"/>
    </row>
    <row r="735">
      <c r="H735" s="63"/>
    </row>
    <row r="736">
      <c r="H736" s="63"/>
    </row>
    <row r="737">
      <c r="H737" s="63"/>
    </row>
    <row r="738">
      <c r="H738" s="63"/>
    </row>
    <row r="739">
      <c r="H739" s="63"/>
    </row>
    <row r="740">
      <c r="H740" s="63"/>
    </row>
    <row r="741">
      <c r="H741" s="63"/>
    </row>
    <row r="742">
      <c r="H742" s="63"/>
    </row>
    <row r="743">
      <c r="H743" s="63"/>
    </row>
    <row r="744">
      <c r="H744" s="63"/>
    </row>
    <row r="745">
      <c r="H745" s="63"/>
    </row>
    <row r="746">
      <c r="H746" s="63"/>
    </row>
    <row r="747">
      <c r="H747" s="63"/>
    </row>
    <row r="748">
      <c r="H748" s="63"/>
    </row>
    <row r="749">
      <c r="H749" s="63"/>
    </row>
    <row r="750">
      <c r="H750" s="63"/>
    </row>
    <row r="751">
      <c r="H751" s="63"/>
    </row>
    <row r="752">
      <c r="H752" s="63"/>
    </row>
    <row r="753">
      <c r="H753" s="63"/>
    </row>
    <row r="754">
      <c r="H754" s="63"/>
    </row>
    <row r="755">
      <c r="H755" s="63"/>
    </row>
    <row r="756">
      <c r="H756" s="63"/>
    </row>
    <row r="757">
      <c r="H757" s="63"/>
    </row>
    <row r="758">
      <c r="H758" s="63"/>
    </row>
    <row r="759">
      <c r="H759" s="63"/>
    </row>
    <row r="760">
      <c r="H760" s="63"/>
    </row>
    <row r="761">
      <c r="H761" s="63"/>
    </row>
    <row r="762">
      <c r="H762" s="63"/>
    </row>
    <row r="763">
      <c r="H763" s="63"/>
    </row>
    <row r="764">
      <c r="H764" s="63"/>
    </row>
    <row r="765">
      <c r="H765" s="63"/>
    </row>
    <row r="766">
      <c r="H766" s="63"/>
    </row>
    <row r="767">
      <c r="H767" s="63"/>
    </row>
    <row r="768">
      <c r="H768" s="63"/>
    </row>
    <row r="769">
      <c r="H769" s="63"/>
    </row>
    <row r="770">
      <c r="H770" s="63"/>
    </row>
    <row r="771">
      <c r="H771" s="63"/>
    </row>
    <row r="772">
      <c r="H772" s="63"/>
    </row>
    <row r="773">
      <c r="H773" s="63"/>
    </row>
    <row r="774">
      <c r="H774" s="63"/>
    </row>
    <row r="775">
      <c r="H775" s="63"/>
    </row>
    <row r="776">
      <c r="H776" s="63"/>
    </row>
    <row r="777">
      <c r="H777" s="63"/>
    </row>
    <row r="778">
      <c r="H778" s="63"/>
    </row>
    <row r="779">
      <c r="H779" s="63"/>
    </row>
    <row r="780">
      <c r="H780" s="63"/>
    </row>
    <row r="781">
      <c r="H781" s="63"/>
    </row>
    <row r="782">
      <c r="H782" s="63"/>
    </row>
    <row r="783">
      <c r="H783" s="63"/>
    </row>
    <row r="784">
      <c r="H784" s="63"/>
    </row>
    <row r="785">
      <c r="H785" s="63"/>
    </row>
    <row r="786">
      <c r="H786" s="63"/>
    </row>
    <row r="787">
      <c r="H787" s="63"/>
    </row>
    <row r="788">
      <c r="H788" s="63"/>
    </row>
    <row r="789">
      <c r="H789" s="63"/>
    </row>
    <row r="790">
      <c r="H790" s="63"/>
    </row>
    <row r="791">
      <c r="H791" s="63"/>
    </row>
    <row r="792">
      <c r="H792" s="63"/>
    </row>
    <row r="793">
      <c r="H793" s="63"/>
    </row>
    <row r="794">
      <c r="H794" s="63"/>
    </row>
    <row r="795">
      <c r="H795" s="63"/>
    </row>
    <row r="796">
      <c r="H796" s="63"/>
    </row>
    <row r="797">
      <c r="H797" s="63"/>
    </row>
    <row r="798">
      <c r="H798" s="63"/>
    </row>
    <row r="799">
      <c r="H799" s="63"/>
    </row>
    <row r="800">
      <c r="H800" s="63"/>
    </row>
    <row r="801">
      <c r="H801" s="63"/>
    </row>
    <row r="802">
      <c r="H802" s="63"/>
    </row>
    <row r="803">
      <c r="H803" s="63"/>
    </row>
    <row r="804">
      <c r="H804" s="63"/>
    </row>
    <row r="805">
      <c r="H805" s="63"/>
    </row>
    <row r="806">
      <c r="H806" s="63"/>
    </row>
    <row r="807">
      <c r="H807" s="63"/>
    </row>
    <row r="808">
      <c r="H808" s="63"/>
    </row>
    <row r="809">
      <c r="H809" s="63"/>
    </row>
    <row r="810">
      <c r="H810" s="63"/>
    </row>
    <row r="811">
      <c r="H811" s="63"/>
    </row>
    <row r="812">
      <c r="H812" s="63"/>
    </row>
    <row r="813">
      <c r="H813" s="63"/>
    </row>
    <row r="814">
      <c r="H814" s="63"/>
    </row>
    <row r="815">
      <c r="H815" s="63"/>
    </row>
    <row r="816">
      <c r="H816" s="63"/>
    </row>
    <row r="817">
      <c r="H817" s="63"/>
    </row>
    <row r="818">
      <c r="H818" s="63"/>
    </row>
    <row r="819">
      <c r="H819" s="63"/>
    </row>
    <row r="820">
      <c r="H820" s="63"/>
    </row>
    <row r="821">
      <c r="H821" s="63"/>
    </row>
    <row r="822">
      <c r="H822" s="63"/>
    </row>
    <row r="823">
      <c r="H823" s="63"/>
    </row>
    <row r="824">
      <c r="H824" s="63"/>
    </row>
    <row r="825">
      <c r="H825" s="63"/>
    </row>
    <row r="826">
      <c r="H826" s="63"/>
    </row>
    <row r="827">
      <c r="H827" s="63"/>
    </row>
    <row r="828">
      <c r="H828" s="63"/>
    </row>
    <row r="829">
      <c r="H829" s="63"/>
    </row>
    <row r="830">
      <c r="H830" s="63"/>
    </row>
    <row r="831">
      <c r="H831" s="63"/>
    </row>
    <row r="832">
      <c r="H832" s="63"/>
    </row>
    <row r="833">
      <c r="H833" s="63"/>
    </row>
    <row r="834">
      <c r="H834" s="63"/>
    </row>
    <row r="835">
      <c r="H835" s="63"/>
    </row>
    <row r="836">
      <c r="H836" s="63"/>
    </row>
    <row r="837">
      <c r="H837" s="63"/>
    </row>
    <row r="838">
      <c r="H838" s="63"/>
    </row>
    <row r="839">
      <c r="H839" s="63"/>
    </row>
    <row r="840">
      <c r="H840" s="63"/>
    </row>
    <row r="841">
      <c r="H841" s="63"/>
    </row>
    <row r="842">
      <c r="H842" s="63"/>
    </row>
    <row r="843">
      <c r="H843" s="63"/>
    </row>
    <row r="844">
      <c r="H844" s="63"/>
    </row>
    <row r="845">
      <c r="H845" s="63"/>
    </row>
    <row r="846">
      <c r="H846" s="63"/>
    </row>
    <row r="847">
      <c r="H847" s="63"/>
    </row>
    <row r="848">
      <c r="H848" s="63"/>
    </row>
    <row r="849">
      <c r="H849" s="63"/>
    </row>
    <row r="850">
      <c r="H850" s="63"/>
    </row>
    <row r="851">
      <c r="H851" s="63"/>
    </row>
    <row r="852">
      <c r="H852" s="63"/>
    </row>
    <row r="853">
      <c r="H853" s="63"/>
    </row>
    <row r="854">
      <c r="H854" s="63"/>
    </row>
    <row r="855">
      <c r="H855" s="63"/>
    </row>
    <row r="856">
      <c r="H856" s="63"/>
    </row>
    <row r="857">
      <c r="H857" s="63"/>
    </row>
    <row r="858">
      <c r="H858" s="63"/>
    </row>
    <row r="859">
      <c r="H859" s="63"/>
    </row>
    <row r="860">
      <c r="H860" s="63"/>
    </row>
    <row r="861">
      <c r="H861" s="63"/>
    </row>
    <row r="862">
      <c r="H862" s="63"/>
    </row>
    <row r="863">
      <c r="H863" s="63"/>
    </row>
    <row r="864">
      <c r="H864" s="63"/>
    </row>
    <row r="865">
      <c r="H865" s="63"/>
    </row>
    <row r="866">
      <c r="H866" s="63"/>
    </row>
    <row r="867">
      <c r="H867" s="63"/>
    </row>
    <row r="868">
      <c r="H868" s="63"/>
    </row>
    <row r="869">
      <c r="H869" s="63"/>
    </row>
    <row r="870">
      <c r="H870" s="63"/>
    </row>
    <row r="871">
      <c r="H871" s="63"/>
    </row>
    <row r="872">
      <c r="H872" s="63"/>
    </row>
    <row r="873">
      <c r="H873" s="63"/>
    </row>
    <row r="874">
      <c r="H874" s="63"/>
    </row>
    <row r="875">
      <c r="H875" s="63"/>
    </row>
    <row r="876">
      <c r="H876" s="63"/>
    </row>
    <row r="877">
      <c r="H877" s="63"/>
    </row>
    <row r="878">
      <c r="H878" s="63"/>
    </row>
    <row r="879">
      <c r="H879" s="63"/>
    </row>
    <row r="880">
      <c r="H880" s="63"/>
    </row>
    <row r="881">
      <c r="H881" s="63"/>
    </row>
    <row r="882">
      <c r="H882" s="63"/>
    </row>
    <row r="883">
      <c r="H883" s="63"/>
    </row>
    <row r="884">
      <c r="H884" s="63"/>
    </row>
    <row r="885">
      <c r="H885" s="63"/>
    </row>
    <row r="886">
      <c r="H886" s="63"/>
    </row>
    <row r="887">
      <c r="H887" s="63"/>
    </row>
    <row r="888">
      <c r="H888" s="63"/>
    </row>
    <row r="889">
      <c r="H889" s="63"/>
    </row>
    <row r="890">
      <c r="H890" s="63"/>
    </row>
    <row r="891">
      <c r="H891" s="63"/>
    </row>
    <row r="892">
      <c r="H892" s="63"/>
    </row>
    <row r="893">
      <c r="H893" s="63"/>
    </row>
    <row r="894">
      <c r="H894" s="63"/>
    </row>
    <row r="895">
      <c r="H895" s="63"/>
    </row>
    <row r="896">
      <c r="H896" s="63"/>
    </row>
    <row r="897">
      <c r="H897" s="63"/>
    </row>
    <row r="898">
      <c r="H898" s="63"/>
    </row>
    <row r="899">
      <c r="H899" s="63"/>
    </row>
    <row r="900">
      <c r="H900" s="63"/>
    </row>
    <row r="901">
      <c r="H901" s="63"/>
    </row>
    <row r="902">
      <c r="H902" s="63"/>
    </row>
    <row r="903">
      <c r="H903" s="63"/>
    </row>
    <row r="904">
      <c r="H904" s="63"/>
    </row>
    <row r="905">
      <c r="H905" s="63"/>
    </row>
    <row r="906">
      <c r="H906" s="63"/>
    </row>
    <row r="907">
      <c r="H907" s="63"/>
    </row>
    <row r="908">
      <c r="H908" s="63"/>
    </row>
    <row r="909">
      <c r="H909" s="63"/>
    </row>
    <row r="910">
      <c r="H910" s="63"/>
    </row>
    <row r="911">
      <c r="H911" s="63"/>
    </row>
    <row r="912">
      <c r="H912" s="63"/>
    </row>
    <row r="913">
      <c r="H913" s="63"/>
    </row>
    <row r="914">
      <c r="H914" s="63"/>
    </row>
    <row r="915">
      <c r="H915" s="63"/>
    </row>
    <row r="916">
      <c r="H916" s="63"/>
    </row>
    <row r="917">
      <c r="H917" s="63"/>
    </row>
    <row r="918">
      <c r="H918" s="63"/>
    </row>
    <row r="919">
      <c r="H919" s="63"/>
    </row>
    <row r="920">
      <c r="H920" s="63"/>
    </row>
    <row r="921">
      <c r="H921" s="63"/>
    </row>
    <row r="922">
      <c r="H922" s="63"/>
    </row>
    <row r="923">
      <c r="H923" s="63"/>
    </row>
    <row r="924">
      <c r="H924" s="63"/>
    </row>
    <row r="925">
      <c r="H925" s="63"/>
    </row>
    <row r="926">
      <c r="H926" s="63"/>
    </row>
    <row r="927">
      <c r="H927" s="63"/>
    </row>
    <row r="928">
      <c r="H928" s="63"/>
    </row>
    <row r="929">
      <c r="H929" s="63"/>
    </row>
    <row r="930">
      <c r="H930" s="63"/>
    </row>
    <row r="931">
      <c r="H931" s="63"/>
    </row>
    <row r="932">
      <c r="H932" s="63"/>
    </row>
    <row r="933">
      <c r="H933" s="63"/>
    </row>
    <row r="934">
      <c r="H934" s="63"/>
    </row>
    <row r="935">
      <c r="H935" s="63"/>
    </row>
    <row r="936">
      <c r="H936" s="63"/>
    </row>
    <row r="937">
      <c r="H937" s="63"/>
    </row>
    <row r="938">
      <c r="H938" s="63"/>
    </row>
    <row r="939">
      <c r="H939" s="63"/>
    </row>
    <row r="940">
      <c r="H940" s="63"/>
    </row>
    <row r="941">
      <c r="H941" s="63"/>
    </row>
    <row r="942">
      <c r="H942" s="63"/>
    </row>
    <row r="943">
      <c r="H943" s="63"/>
    </row>
    <row r="944">
      <c r="H944" s="63"/>
    </row>
    <row r="945">
      <c r="H945" s="63"/>
    </row>
    <row r="946">
      <c r="H946" s="63"/>
    </row>
    <row r="947">
      <c r="H947" s="63"/>
    </row>
    <row r="948">
      <c r="H948" s="63"/>
    </row>
    <row r="949">
      <c r="H949" s="63"/>
    </row>
    <row r="950">
      <c r="H950" s="63"/>
    </row>
    <row r="951">
      <c r="H951" s="63"/>
    </row>
    <row r="952">
      <c r="H952" s="63"/>
    </row>
    <row r="953">
      <c r="H953" s="63"/>
    </row>
    <row r="954">
      <c r="H954" s="63"/>
    </row>
    <row r="955">
      <c r="H955" s="63"/>
    </row>
    <row r="956">
      <c r="H956" s="63"/>
    </row>
    <row r="957">
      <c r="H957" s="63"/>
    </row>
    <row r="958">
      <c r="H958" s="63"/>
    </row>
    <row r="959">
      <c r="H959" s="63"/>
    </row>
    <row r="960">
      <c r="H960" s="63"/>
    </row>
    <row r="961">
      <c r="H961" s="63"/>
    </row>
    <row r="962">
      <c r="H962" s="63"/>
    </row>
    <row r="963">
      <c r="H963" s="63"/>
    </row>
    <row r="964">
      <c r="H964" s="63"/>
    </row>
    <row r="965">
      <c r="H965" s="63"/>
    </row>
    <row r="966">
      <c r="H966" s="63"/>
    </row>
    <row r="967">
      <c r="H967" s="63"/>
    </row>
    <row r="968">
      <c r="H968" s="63"/>
    </row>
    <row r="969">
      <c r="H969" s="63"/>
    </row>
    <row r="970">
      <c r="H970" s="63"/>
    </row>
    <row r="971">
      <c r="H971" s="63"/>
    </row>
    <row r="972">
      <c r="H972" s="63"/>
    </row>
    <row r="973">
      <c r="H973" s="63"/>
    </row>
    <row r="974">
      <c r="H974" s="63"/>
    </row>
    <row r="975">
      <c r="H975" s="63"/>
    </row>
    <row r="976">
      <c r="H976" s="63"/>
    </row>
    <row r="977">
      <c r="H977" s="63"/>
    </row>
    <row r="978">
      <c r="H978" s="63"/>
    </row>
    <row r="979">
      <c r="H979" s="63"/>
    </row>
    <row r="980">
      <c r="H980" s="63"/>
    </row>
    <row r="981">
      <c r="H981" s="63"/>
    </row>
    <row r="982">
      <c r="H982" s="63"/>
    </row>
    <row r="983">
      <c r="H983" s="63"/>
    </row>
    <row r="984">
      <c r="H984" s="63"/>
    </row>
    <row r="985">
      <c r="H985" s="63"/>
    </row>
    <row r="986">
      <c r="H986" s="63"/>
    </row>
    <row r="987">
      <c r="H987" s="63"/>
    </row>
    <row r="988">
      <c r="H988" s="63"/>
    </row>
    <row r="989">
      <c r="H989" s="63"/>
    </row>
    <row r="990">
      <c r="H990" s="63"/>
    </row>
    <row r="991">
      <c r="H991" s="63"/>
    </row>
    <row r="992">
      <c r="H992" s="63"/>
    </row>
    <row r="993">
      <c r="H993" s="63"/>
    </row>
    <row r="994">
      <c r="H994" s="63"/>
    </row>
    <row r="995">
      <c r="H995" s="63"/>
    </row>
    <row r="996">
      <c r="H996" s="63"/>
    </row>
    <row r="997">
      <c r="H997" s="63"/>
    </row>
    <row r="998">
      <c r="H998" s="63"/>
    </row>
    <row r="999">
      <c r="H999" s="63"/>
    </row>
    <row r="1000">
      <c r="H1000" s="6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1" t="s">
        <v>94</v>
      </c>
    </row>
    <row r="2">
      <c r="A2" s="56" t="s">
        <v>95</v>
      </c>
    </row>
    <row r="3">
      <c r="A3" s="60" t="s">
        <v>96</v>
      </c>
    </row>
    <row r="4">
      <c r="A4" s="60" t="s">
        <v>97</v>
      </c>
    </row>
    <row r="5">
      <c r="A5" s="60" t="s">
        <v>98</v>
      </c>
    </row>
    <row r="8">
      <c r="A8" s="52" t="s">
        <v>99</v>
      </c>
    </row>
    <row r="9">
      <c r="A9" s="52" t="s">
        <v>100</v>
      </c>
    </row>
    <row r="10">
      <c r="A10" s="52" t="s">
        <v>101</v>
      </c>
    </row>
    <row r="11">
      <c r="A11" s="52" t="s">
        <v>102</v>
      </c>
    </row>
    <row r="12">
      <c r="A12" s="52" t="s">
        <v>103</v>
      </c>
    </row>
    <row r="13">
      <c r="A13" s="52" t="s">
        <v>104</v>
      </c>
    </row>
    <row r="14">
      <c r="A14" s="52" t="s">
        <v>105</v>
      </c>
    </row>
    <row r="15">
      <c r="A15" s="51" t="s">
        <v>106</v>
      </c>
    </row>
  </sheetData>
  <hyperlinks>
    <hyperlink r:id="rId1" ref="A2"/>
    <hyperlink r:id="rId2" ref="A3"/>
    <hyperlink r:id="rId3" ref="A4"/>
    <hyperlink r:id="rId4" ref="A5"/>
  </hyperlinks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1" t="s">
        <v>107</v>
      </c>
    </row>
    <row r="2">
      <c r="A2" s="56" t="s">
        <v>108</v>
      </c>
    </row>
    <row r="3">
      <c r="A3" s="60" t="s">
        <v>109</v>
      </c>
    </row>
    <row r="4">
      <c r="A4" s="56" t="s">
        <v>110</v>
      </c>
    </row>
  </sheetData>
  <hyperlinks>
    <hyperlink r:id="rId1" ref="A2"/>
    <hyperlink r:id="rId2" ref="A3"/>
    <hyperlink r:id="rId3" ref="A4"/>
  </hyperlinks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7.43"/>
  </cols>
  <sheetData>
    <row r="1">
      <c r="A1" s="51" t="s">
        <v>64</v>
      </c>
      <c r="B1" s="51" t="s">
        <v>111</v>
      </c>
    </row>
    <row r="2">
      <c r="A2" s="56" t="s">
        <v>112</v>
      </c>
      <c r="B2" s="52" t="s">
        <v>113</v>
      </c>
      <c r="C2" s="52" t="s">
        <v>114</v>
      </c>
      <c r="D2" s="52" t="s">
        <v>115</v>
      </c>
      <c r="E2" s="52" t="s">
        <v>116</v>
      </c>
      <c r="F2" s="51" t="s">
        <v>117</v>
      </c>
    </row>
    <row r="3">
      <c r="A3" s="56" t="s">
        <v>118</v>
      </c>
      <c r="B3" s="52" t="s">
        <v>119</v>
      </c>
      <c r="C3" s="52" t="s">
        <v>120</v>
      </c>
      <c r="D3" s="52" t="s">
        <v>121</v>
      </c>
      <c r="E3" s="64" t="s">
        <v>122</v>
      </c>
      <c r="F3" s="51" t="s">
        <v>123</v>
      </c>
    </row>
    <row r="4">
      <c r="A4" s="60" t="s">
        <v>124</v>
      </c>
      <c r="B4" s="52" t="s">
        <v>114</v>
      </c>
      <c r="C4" s="52" t="s">
        <v>125</v>
      </c>
      <c r="D4" s="51" t="s">
        <v>126</v>
      </c>
      <c r="F4" s="51" t="s">
        <v>127</v>
      </c>
    </row>
    <row r="5">
      <c r="B5" s="52" t="s">
        <v>128</v>
      </c>
      <c r="C5" s="52" t="s">
        <v>129</v>
      </c>
      <c r="D5" s="51" t="s">
        <v>121</v>
      </c>
      <c r="F5" s="60" t="s">
        <v>130</v>
      </c>
    </row>
    <row r="6">
      <c r="B6" s="52" t="s">
        <v>131</v>
      </c>
      <c r="C6" s="52" t="s">
        <v>132</v>
      </c>
      <c r="D6" s="51" t="s">
        <v>133</v>
      </c>
      <c r="F6" s="51" t="s">
        <v>131</v>
      </c>
    </row>
    <row r="7">
      <c r="B7" s="52" t="s">
        <v>134</v>
      </c>
      <c r="C7" s="52" t="s">
        <v>135</v>
      </c>
      <c r="D7" s="51" t="s">
        <v>126</v>
      </c>
      <c r="F7" s="51" t="s">
        <v>136</v>
      </c>
    </row>
    <row r="8">
      <c r="B8" s="52" t="s">
        <v>137</v>
      </c>
      <c r="C8" s="52" t="s">
        <v>138</v>
      </c>
      <c r="D8" s="51" t="s">
        <v>126</v>
      </c>
      <c r="F8" s="51" t="s">
        <v>139</v>
      </c>
    </row>
    <row r="9">
      <c r="B9" s="52" t="s">
        <v>140</v>
      </c>
      <c r="C9" s="52" t="s">
        <v>141</v>
      </c>
      <c r="D9" s="51" t="s">
        <v>126</v>
      </c>
      <c r="F9" s="51" t="s">
        <v>142</v>
      </c>
    </row>
    <row r="10">
      <c r="B10" s="52" t="s">
        <v>143</v>
      </c>
      <c r="C10" s="52" t="s">
        <v>144</v>
      </c>
      <c r="D10" s="51" t="s">
        <v>145</v>
      </c>
    </row>
    <row r="11">
      <c r="B11" s="52" t="s">
        <v>146</v>
      </c>
      <c r="C11" s="52" t="s">
        <v>147</v>
      </c>
      <c r="D11" s="51" t="s">
        <v>145</v>
      </c>
    </row>
  </sheetData>
  <hyperlinks>
    <hyperlink r:id="rId1" ref="A2"/>
    <hyperlink r:id="rId2" ref="A3"/>
    <hyperlink r:id="rId3" ref="A4"/>
    <hyperlink r:id="rId4" ref="F5"/>
  </hyperlinks>
  <drawing r:id="rId5"/>
</worksheet>
</file>